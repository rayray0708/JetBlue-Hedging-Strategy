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7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7.xml" ContentType="application/vnd.openxmlformats-officedocument.drawing+xml"/>
  <Override PartName="/xl/charts/chart8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/Users/rachelmmm/Desktop/Applied Finance/"/>
    </mc:Choice>
  </mc:AlternateContent>
  <xr:revisionPtr revIDLastSave="0" documentId="13_ncr:1_{FB49BEB2-7406-084B-AEDB-8110CE015ED6}" xr6:coauthVersionLast="47" xr6:coauthVersionMax="47" xr10:uidLastSave="{00000000-0000-0000-0000-000000000000}"/>
  <bookViews>
    <workbookView xWindow="0" yWindow="680" windowWidth="34200" windowHeight="21460" activeTab="4" xr2:uid="{B39B51F3-1E5E-AB43-BA07-72A0B4BB81C5}"/>
  </bookViews>
  <sheets>
    <sheet name="Monthly Changes &amp; Correlations" sheetId="2" r:id="rId1"/>
    <sheet name="Regression - Brent" sheetId="6" r:id="rId2"/>
    <sheet name="Regression - Brent (directions)" sheetId="9" r:id="rId3"/>
    <sheet name="Regression - WTI" sheetId="5" r:id="rId4"/>
    <sheet name="Regression - WTI (directions)" sheetId="8" r:id="rId5"/>
    <sheet name="Regression - Heating Oil" sheetId="11" r:id="rId6"/>
    <sheet name="P&amp;L Before vs. After Hedging" sheetId="7" r:id="rId7"/>
    <sheet name="P&amp;L With Directions" sheetId="10" r:id="rId8"/>
    <sheet name="Exh 4 &amp; Descriptive Stats" sheetId="12" r:id="rId9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" i="10" l="1"/>
  <c r="L5" i="10"/>
  <c r="L6" i="10"/>
  <c r="L7" i="10"/>
  <c r="L8" i="10"/>
  <c r="L9" i="10"/>
  <c r="L10" i="10"/>
  <c r="L11" i="10"/>
  <c r="L12" i="10"/>
  <c r="L13" i="10"/>
  <c r="L14" i="10"/>
  <c r="L15" i="10"/>
  <c r="L16" i="10"/>
  <c r="L17" i="10"/>
  <c r="L18" i="10"/>
  <c r="L19" i="10"/>
  <c r="L20" i="10"/>
  <c r="L21" i="10"/>
  <c r="L22" i="10"/>
  <c r="L23" i="10"/>
  <c r="L24" i="10"/>
  <c r="L25" i="10"/>
  <c r="L26" i="10"/>
  <c r="L27" i="10"/>
  <c r="L28" i="10"/>
  <c r="L29" i="10"/>
  <c r="L30" i="10"/>
  <c r="L31" i="10"/>
  <c r="L32" i="10"/>
  <c r="L33" i="10"/>
  <c r="L34" i="10"/>
  <c r="L35" i="10"/>
  <c r="L36" i="10"/>
  <c r="L37" i="10"/>
  <c r="L38" i="10"/>
  <c r="L39" i="10"/>
  <c r="L40" i="10"/>
  <c r="L41" i="10"/>
  <c r="L42" i="10"/>
  <c r="L43" i="10"/>
  <c r="L44" i="10"/>
  <c r="L45" i="10"/>
  <c r="L46" i="10"/>
  <c r="L47" i="10"/>
  <c r="L48" i="10"/>
  <c r="L49" i="10"/>
  <c r="L50" i="10"/>
  <c r="L51" i="10"/>
  <c r="L52" i="10"/>
  <c r="L53" i="10"/>
  <c r="L54" i="10"/>
  <c r="L55" i="10"/>
  <c r="L56" i="10"/>
  <c r="L57" i="10"/>
  <c r="L58" i="10"/>
  <c r="L59" i="10"/>
  <c r="L60" i="10"/>
  <c r="L61" i="10"/>
  <c r="L3" i="10"/>
  <c r="K3" i="10"/>
  <c r="I10" i="10"/>
  <c r="J12" i="10"/>
  <c r="J4" i="10"/>
  <c r="J5" i="10"/>
  <c r="J6" i="10"/>
  <c r="J7" i="10"/>
  <c r="J8" i="10"/>
  <c r="J9" i="10"/>
  <c r="J10" i="10"/>
  <c r="J11" i="10"/>
  <c r="J13" i="10"/>
  <c r="J14" i="10"/>
  <c r="J15" i="10"/>
  <c r="J16" i="10"/>
  <c r="J17" i="10"/>
  <c r="J18" i="10"/>
  <c r="J19" i="10"/>
  <c r="J20" i="10"/>
  <c r="J21" i="10"/>
  <c r="J22" i="10"/>
  <c r="J23" i="10"/>
  <c r="J24" i="10"/>
  <c r="J25" i="10"/>
  <c r="J26" i="10"/>
  <c r="J27" i="10"/>
  <c r="J28" i="10"/>
  <c r="J29" i="10"/>
  <c r="J30" i="10"/>
  <c r="J31" i="10"/>
  <c r="J32" i="10"/>
  <c r="J33" i="10"/>
  <c r="J34" i="10"/>
  <c r="J35" i="10"/>
  <c r="J36" i="10"/>
  <c r="J37" i="10"/>
  <c r="J38" i="10"/>
  <c r="J39" i="10"/>
  <c r="J40" i="10"/>
  <c r="J41" i="10"/>
  <c r="J42" i="10"/>
  <c r="J43" i="10"/>
  <c r="J44" i="10"/>
  <c r="J45" i="10"/>
  <c r="J46" i="10"/>
  <c r="J47" i="10"/>
  <c r="J48" i="10"/>
  <c r="J49" i="10"/>
  <c r="J50" i="10"/>
  <c r="J51" i="10"/>
  <c r="J52" i="10"/>
  <c r="J53" i="10"/>
  <c r="J54" i="10"/>
  <c r="J55" i="10"/>
  <c r="J56" i="10"/>
  <c r="J57" i="10"/>
  <c r="J58" i="10"/>
  <c r="J59" i="10"/>
  <c r="J60" i="10"/>
  <c r="J61" i="10"/>
  <c r="J3" i="10"/>
  <c r="I3" i="10"/>
  <c r="S8" i="10"/>
  <c r="S7" i="10"/>
  <c r="R7" i="10"/>
  <c r="K4" i="10"/>
  <c r="K5" i="10"/>
  <c r="K6" i="10"/>
  <c r="K7" i="10"/>
  <c r="K8" i="10"/>
  <c r="K9" i="10"/>
  <c r="K10" i="10"/>
  <c r="K11" i="10"/>
  <c r="K12" i="10"/>
  <c r="K13" i="10"/>
  <c r="K14" i="10"/>
  <c r="K15" i="10"/>
  <c r="K16" i="10"/>
  <c r="K17" i="10"/>
  <c r="K18" i="10"/>
  <c r="K19" i="10"/>
  <c r="K20" i="10"/>
  <c r="K21" i="10"/>
  <c r="K22" i="10"/>
  <c r="K23" i="10"/>
  <c r="K24" i="10"/>
  <c r="K25" i="10"/>
  <c r="K26" i="10"/>
  <c r="K27" i="10"/>
  <c r="K28" i="10"/>
  <c r="K29" i="10"/>
  <c r="K30" i="10"/>
  <c r="K31" i="10"/>
  <c r="K32" i="10"/>
  <c r="K33" i="10"/>
  <c r="K34" i="10"/>
  <c r="K35" i="10"/>
  <c r="K36" i="10"/>
  <c r="K37" i="10"/>
  <c r="K38" i="10"/>
  <c r="K39" i="10"/>
  <c r="K40" i="10"/>
  <c r="K41" i="10"/>
  <c r="K42" i="10"/>
  <c r="K43" i="10"/>
  <c r="K44" i="10"/>
  <c r="K45" i="10"/>
  <c r="K46" i="10"/>
  <c r="K47" i="10"/>
  <c r="K48" i="10"/>
  <c r="K49" i="10"/>
  <c r="K50" i="10"/>
  <c r="K51" i="10"/>
  <c r="K52" i="10"/>
  <c r="K53" i="10"/>
  <c r="K54" i="10"/>
  <c r="K55" i="10"/>
  <c r="K56" i="10"/>
  <c r="K57" i="10"/>
  <c r="K58" i="10"/>
  <c r="K59" i="10"/>
  <c r="K60" i="10"/>
  <c r="K61" i="10"/>
  <c r="I4" i="10"/>
  <c r="I5" i="10"/>
  <c r="I6" i="10"/>
  <c r="I7" i="10"/>
  <c r="I8" i="10"/>
  <c r="I9" i="10"/>
  <c r="I11" i="10"/>
  <c r="I12" i="10"/>
  <c r="I13" i="10"/>
  <c r="I14" i="10"/>
  <c r="I15" i="10"/>
  <c r="I16" i="10"/>
  <c r="I17" i="10"/>
  <c r="I18" i="10"/>
  <c r="I19" i="10"/>
  <c r="I20" i="10"/>
  <c r="I21" i="10"/>
  <c r="I22" i="10"/>
  <c r="I23" i="10"/>
  <c r="I24" i="10"/>
  <c r="I25" i="10"/>
  <c r="I26" i="10"/>
  <c r="I27" i="10"/>
  <c r="I28" i="10"/>
  <c r="I29" i="10"/>
  <c r="I30" i="10"/>
  <c r="I31" i="10"/>
  <c r="I32" i="10"/>
  <c r="I33" i="10"/>
  <c r="I34" i="10"/>
  <c r="I35" i="10"/>
  <c r="I36" i="10"/>
  <c r="I37" i="10"/>
  <c r="I38" i="10"/>
  <c r="I39" i="10"/>
  <c r="I40" i="10"/>
  <c r="I41" i="10"/>
  <c r="I42" i="10"/>
  <c r="I43" i="10"/>
  <c r="I44" i="10"/>
  <c r="I45" i="10"/>
  <c r="I46" i="10"/>
  <c r="I47" i="10"/>
  <c r="I48" i="10"/>
  <c r="I49" i="10"/>
  <c r="I50" i="10"/>
  <c r="I51" i="10"/>
  <c r="I52" i="10"/>
  <c r="I53" i="10"/>
  <c r="I54" i="10"/>
  <c r="I55" i="10"/>
  <c r="I56" i="10"/>
  <c r="I57" i="10"/>
  <c r="I58" i="10"/>
  <c r="I59" i="10"/>
  <c r="I60" i="10"/>
  <c r="I61" i="10"/>
  <c r="H4" i="10"/>
  <c r="H5" i="10"/>
  <c r="H6" i="10"/>
  <c r="H7" i="10"/>
  <c r="H8" i="10"/>
  <c r="H9" i="10"/>
  <c r="H10" i="10"/>
  <c r="H11" i="10"/>
  <c r="H12" i="10"/>
  <c r="H13" i="10"/>
  <c r="H14" i="10"/>
  <c r="H15" i="10"/>
  <c r="H16" i="10"/>
  <c r="H17" i="10"/>
  <c r="H18" i="10"/>
  <c r="H19" i="10"/>
  <c r="H20" i="10"/>
  <c r="H21" i="10"/>
  <c r="H22" i="10"/>
  <c r="H23" i="10"/>
  <c r="H24" i="10"/>
  <c r="H25" i="10"/>
  <c r="H26" i="10"/>
  <c r="H27" i="10"/>
  <c r="H28" i="10"/>
  <c r="H29" i="10"/>
  <c r="H30" i="10"/>
  <c r="H31" i="10"/>
  <c r="H32" i="10"/>
  <c r="H33" i="10"/>
  <c r="H34" i="10"/>
  <c r="H35" i="10"/>
  <c r="H36" i="10"/>
  <c r="H37" i="10"/>
  <c r="H38" i="10"/>
  <c r="H39" i="10"/>
  <c r="H40" i="10"/>
  <c r="H41" i="10"/>
  <c r="H42" i="10"/>
  <c r="H43" i="10"/>
  <c r="H44" i="10"/>
  <c r="H45" i="10"/>
  <c r="H46" i="10"/>
  <c r="H47" i="10"/>
  <c r="H48" i="10"/>
  <c r="H49" i="10"/>
  <c r="H50" i="10"/>
  <c r="H51" i="10"/>
  <c r="H52" i="10"/>
  <c r="H53" i="10"/>
  <c r="H54" i="10"/>
  <c r="H55" i="10"/>
  <c r="H56" i="10"/>
  <c r="H57" i="10"/>
  <c r="H58" i="10"/>
  <c r="H59" i="10"/>
  <c r="H60" i="10"/>
  <c r="H61" i="10"/>
  <c r="H3" i="10"/>
  <c r="R8" i="10"/>
  <c r="S3" i="10"/>
  <c r="P7" i="7"/>
  <c r="R3" i="10"/>
  <c r="S10" i="2"/>
  <c r="T10" i="2"/>
  <c r="U10" i="2"/>
  <c r="S11" i="2"/>
  <c r="T11" i="2"/>
  <c r="U11" i="2"/>
  <c r="S12" i="2"/>
  <c r="T12" i="2"/>
  <c r="U12" i="2"/>
  <c r="S13" i="2"/>
  <c r="T13" i="2"/>
  <c r="U13" i="2"/>
  <c r="S14" i="2"/>
  <c r="T14" i="2"/>
  <c r="U14" i="2"/>
  <c r="S15" i="2"/>
  <c r="T15" i="2"/>
  <c r="U15" i="2"/>
  <c r="S16" i="2"/>
  <c r="T16" i="2"/>
  <c r="U16" i="2"/>
  <c r="S17" i="2"/>
  <c r="T17" i="2"/>
  <c r="U17" i="2"/>
  <c r="S18" i="2"/>
  <c r="T18" i="2"/>
  <c r="U18" i="2"/>
  <c r="S19" i="2"/>
  <c r="T19" i="2"/>
  <c r="U19" i="2"/>
  <c r="S20" i="2"/>
  <c r="T20" i="2"/>
  <c r="U20" i="2"/>
  <c r="S21" i="2"/>
  <c r="T21" i="2"/>
  <c r="U21" i="2"/>
  <c r="S22" i="2"/>
  <c r="T22" i="2"/>
  <c r="U22" i="2"/>
  <c r="S23" i="2"/>
  <c r="T23" i="2"/>
  <c r="U23" i="2"/>
  <c r="S24" i="2"/>
  <c r="T24" i="2"/>
  <c r="U24" i="2"/>
  <c r="S25" i="2"/>
  <c r="T25" i="2"/>
  <c r="U25" i="2"/>
  <c r="S26" i="2"/>
  <c r="T26" i="2"/>
  <c r="U26" i="2"/>
  <c r="S27" i="2"/>
  <c r="T27" i="2"/>
  <c r="U27" i="2"/>
  <c r="S28" i="2"/>
  <c r="T28" i="2"/>
  <c r="U28" i="2"/>
  <c r="S29" i="2"/>
  <c r="T29" i="2"/>
  <c r="U29" i="2"/>
  <c r="S30" i="2"/>
  <c r="T30" i="2"/>
  <c r="U30" i="2"/>
  <c r="S31" i="2"/>
  <c r="T31" i="2"/>
  <c r="U31" i="2"/>
  <c r="S32" i="2"/>
  <c r="T32" i="2"/>
  <c r="U32" i="2"/>
  <c r="S33" i="2"/>
  <c r="T33" i="2"/>
  <c r="U33" i="2"/>
  <c r="S34" i="2"/>
  <c r="T34" i="2"/>
  <c r="U34" i="2"/>
  <c r="S35" i="2"/>
  <c r="T35" i="2"/>
  <c r="U35" i="2"/>
  <c r="S36" i="2"/>
  <c r="T36" i="2"/>
  <c r="U36" i="2"/>
  <c r="S37" i="2"/>
  <c r="T37" i="2"/>
  <c r="U37" i="2"/>
  <c r="S38" i="2"/>
  <c r="T38" i="2"/>
  <c r="U38" i="2"/>
  <c r="S39" i="2"/>
  <c r="T39" i="2"/>
  <c r="U39" i="2"/>
  <c r="S40" i="2"/>
  <c r="T40" i="2"/>
  <c r="U40" i="2"/>
  <c r="S41" i="2"/>
  <c r="T41" i="2"/>
  <c r="U41" i="2"/>
  <c r="S42" i="2"/>
  <c r="T42" i="2"/>
  <c r="U42" i="2"/>
  <c r="S43" i="2"/>
  <c r="T43" i="2"/>
  <c r="U43" i="2"/>
  <c r="S44" i="2"/>
  <c r="T44" i="2"/>
  <c r="U44" i="2"/>
  <c r="S45" i="2"/>
  <c r="T45" i="2"/>
  <c r="U45" i="2"/>
  <c r="S46" i="2"/>
  <c r="T46" i="2"/>
  <c r="U46" i="2"/>
  <c r="S47" i="2"/>
  <c r="T47" i="2"/>
  <c r="U47" i="2"/>
  <c r="S48" i="2"/>
  <c r="T48" i="2"/>
  <c r="U48" i="2"/>
  <c r="S49" i="2"/>
  <c r="T49" i="2"/>
  <c r="U49" i="2"/>
  <c r="S50" i="2"/>
  <c r="T50" i="2"/>
  <c r="U50" i="2"/>
  <c r="S51" i="2"/>
  <c r="T51" i="2"/>
  <c r="U51" i="2"/>
  <c r="S52" i="2"/>
  <c r="T52" i="2"/>
  <c r="U52" i="2"/>
  <c r="S53" i="2"/>
  <c r="T53" i="2"/>
  <c r="U53" i="2"/>
  <c r="S54" i="2"/>
  <c r="T54" i="2"/>
  <c r="U54" i="2"/>
  <c r="S55" i="2"/>
  <c r="T55" i="2"/>
  <c r="U55" i="2"/>
  <c r="S56" i="2"/>
  <c r="T56" i="2"/>
  <c r="U56" i="2"/>
  <c r="S57" i="2"/>
  <c r="T57" i="2"/>
  <c r="U57" i="2"/>
  <c r="S58" i="2"/>
  <c r="T58" i="2"/>
  <c r="U58" i="2"/>
  <c r="S59" i="2"/>
  <c r="T59" i="2"/>
  <c r="U59" i="2"/>
  <c r="S60" i="2"/>
  <c r="T60" i="2"/>
  <c r="U60" i="2"/>
  <c r="S61" i="2"/>
  <c r="T61" i="2"/>
  <c r="U61" i="2"/>
  <c r="S62" i="2"/>
  <c r="T62" i="2"/>
  <c r="U62" i="2"/>
  <c r="S63" i="2"/>
  <c r="T63" i="2"/>
  <c r="U63" i="2"/>
  <c r="S64" i="2"/>
  <c r="T64" i="2"/>
  <c r="U64" i="2"/>
  <c r="S65" i="2"/>
  <c r="T65" i="2"/>
  <c r="U65" i="2"/>
  <c r="S66" i="2"/>
  <c r="T66" i="2"/>
  <c r="U66" i="2"/>
  <c r="S67" i="2"/>
  <c r="T67" i="2"/>
  <c r="U67" i="2"/>
  <c r="S9" i="2"/>
  <c r="T9" i="2"/>
  <c r="U9" i="2"/>
  <c r="R10" i="2"/>
  <c r="R11" i="2"/>
  <c r="R12" i="2"/>
  <c r="R13" i="2"/>
  <c r="R14" i="2"/>
  <c r="R15" i="2"/>
  <c r="R16" i="2"/>
  <c r="R17" i="2"/>
  <c r="R18" i="2"/>
  <c r="R19" i="2"/>
  <c r="R20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38" i="2"/>
  <c r="R39" i="2"/>
  <c r="R40" i="2"/>
  <c r="R41" i="2"/>
  <c r="R42" i="2"/>
  <c r="R43" i="2"/>
  <c r="R44" i="2"/>
  <c r="R45" i="2"/>
  <c r="R46" i="2"/>
  <c r="R47" i="2"/>
  <c r="R48" i="2"/>
  <c r="R49" i="2"/>
  <c r="R50" i="2"/>
  <c r="R51" i="2"/>
  <c r="R52" i="2"/>
  <c r="R53" i="2"/>
  <c r="R54" i="2"/>
  <c r="R55" i="2"/>
  <c r="R56" i="2"/>
  <c r="R57" i="2"/>
  <c r="R58" i="2"/>
  <c r="R59" i="2"/>
  <c r="R60" i="2"/>
  <c r="R61" i="2"/>
  <c r="R62" i="2"/>
  <c r="R63" i="2"/>
  <c r="R64" i="2"/>
  <c r="R65" i="2"/>
  <c r="R66" i="2"/>
  <c r="R67" i="2"/>
  <c r="R9" i="2"/>
  <c r="M9" i="2"/>
  <c r="K11" i="7"/>
  <c r="J11" i="7"/>
  <c r="J40" i="7"/>
  <c r="J52" i="7"/>
  <c r="I4" i="7"/>
  <c r="I12" i="7"/>
  <c r="H16" i="7"/>
  <c r="H11" i="7"/>
  <c r="I8" i="7"/>
  <c r="I5" i="7"/>
  <c r="I6" i="7"/>
  <c r="I7" i="7"/>
  <c r="I9" i="7"/>
  <c r="I10" i="7"/>
  <c r="I11" i="7"/>
  <c r="I13" i="7"/>
  <c r="I14" i="7"/>
  <c r="I15" i="7"/>
  <c r="I16" i="7"/>
  <c r="I17" i="7"/>
  <c r="I18" i="7"/>
  <c r="I19" i="7"/>
  <c r="I20" i="7"/>
  <c r="I21" i="7"/>
  <c r="I22" i="7"/>
  <c r="I23" i="7"/>
  <c r="I24" i="7"/>
  <c r="I25" i="7"/>
  <c r="I26" i="7"/>
  <c r="I27" i="7"/>
  <c r="I28" i="7"/>
  <c r="I29" i="7"/>
  <c r="K29" i="7" s="1"/>
  <c r="I30" i="7"/>
  <c r="I31" i="7"/>
  <c r="I32" i="7"/>
  <c r="I33" i="7"/>
  <c r="I34" i="7"/>
  <c r="I35" i="7"/>
  <c r="I36" i="7"/>
  <c r="I37" i="7"/>
  <c r="I38" i="7"/>
  <c r="I39" i="7"/>
  <c r="I40" i="7"/>
  <c r="K40" i="7" s="1"/>
  <c r="I41" i="7"/>
  <c r="I42" i="7"/>
  <c r="I43" i="7"/>
  <c r="I44" i="7"/>
  <c r="I45" i="7"/>
  <c r="I46" i="7"/>
  <c r="I47" i="7"/>
  <c r="I48" i="7"/>
  <c r="I49" i="7"/>
  <c r="I50" i="7"/>
  <c r="I51" i="7"/>
  <c r="I52" i="7"/>
  <c r="I53" i="7"/>
  <c r="I54" i="7"/>
  <c r="I55" i="7"/>
  <c r="I56" i="7"/>
  <c r="I57" i="7"/>
  <c r="I58" i="7"/>
  <c r="I59" i="7"/>
  <c r="I60" i="7"/>
  <c r="I61" i="7"/>
  <c r="I62" i="7"/>
  <c r="H5" i="7"/>
  <c r="H6" i="7"/>
  <c r="H7" i="7"/>
  <c r="H8" i="7"/>
  <c r="H9" i="7"/>
  <c r="H10" i="7"/>
  <c r="H12" i="7"/>
  <c r="H13" i="7"/>
  <c r="H14" i="7"/>
  <c r="H15" i="7"/>
  <c r="H17" i="7"/>
  <c r="H18" i="7"/>
  <c r="H19" i="7"/>
  <c r="H20" i="7"/>
  <c r="H21" i="7"/>
  <c r="H22" i="7"/>
  <c r="H23" i="7"/>
  <c r="H24" i="7"/>
  <c r="H25" i="7"/>
  <c r="H26" i="7"/>
  <c r="H27" i="7"/>
  <c r="H28" i="7"/>
  <c r="H29" i="7"/>
  <c r="H30" i="7"/>
  <c r="H31" i="7"/>
  <c r="H32" i="7"/>
  <c r="H33" i="7"/>
  <c r="H34" i="7"/>
  <c r="H35" i="7"/>
  <c r="H36" i="7"/>
  <c r="H37" i="7"/>
  <c r="H38" i="7"/>
  <c r="H39" i="7"/>
  <c r="H40" i="7"/>
  <c r="H41" i="7"/>
  <c r="H42" i="7"/>
  <c r="H43" i="7"/>
  <c r="H44" i="7"/>
  <c r="H45" i="7"/>
  <c r="H46" i="7"/>
  <c r="H47" i="7"/>
  <c r="H48" i="7"/>
  <c r="H49" i="7"/>
  <c r="H50" i="7"/>
  <c r="H51" i="7"/>
  <c r="H52" i="7"/>
  <c r="H53" i="7"/>
  <c r="H54" i="7"/>
  <c r="H55" i="7"/>
  <c r="H56" i="7"/>
  <c r="H57" i="7"/>
  <c r="H58" i="7"/>
  <c r="H59" i="7"/>
  <c r="H60" i="7"/>
  <c r="H61" i="7"/>
  <c r="H62" i="7"/>
  <c r="H4" i="7"/>
  <c r="P3" i="7"/>
  <c r="G11" i="7" s="1"/>
  <c r="P8" i="7"/>
  <c r="G5" i="7"/>
  <c r="J5" i="7" s="1"/>
  <c r="G16" i="7"/>
  <c r="J16" i="7" s="1"/>
  <c r="G17" i="7"/>
  <c r="J17" i="7" s="1"/>
  <c r="G26" i="7"/>
  <c r="J26" i="7" s="1"/>
  <c r="G27" i="7"/>
  <c r="J27" i="7" s="1"/>
  <c r="G29" i="7"/>
  <c r="J29" i="7" s="1"/>
  <c r="G30" i="7"/>
  <c r="K30" i="7" s="1"/>
  <c r="G40" i="7"/>
  <c r="G52" i="7"/>
  <c r="K52" i="7" s="1"/>
  <c r="G53" i="7"/>
  <c r="J53" i="7" s="1"/>
  <c r="G54" i="7"/>
  <c r="K54" i="7" s="1"/>
  <c r="G55" i="7"/>
  <c r="J55" i="7" s="1"/>
  <c r="P10" i="2"/>
  <c r="P11" i="2"/>
  <c r="P12" i="2"/>
  <c r="P13" i="2"/>
  <c r="P14" i="2"/>
  <c r="P15" i="2"/>
  <c r="P16" i="2"/>
  <c r="P17" i="2"/>
  <c r="P18" i="2"/>
  <c r="P19" i="2"/>
  <c r="P20" i="2"/>
  <c r="P21" i="2"/>
  <c r="P22" i="2"/>
  <c r="P23" i="2"/>
  <c r="P24" i="2"/>
  <c r="P25" i="2"/>
  <c r="P26" i="2"/>
  <c r="P27" i="2"/>
  <c r="P28" i="2"/>
  <c r="P29" i="2"/>
  <c r="P30" i="2"/>
  <c r="P31" i="2"/>
  <c r="P32" i="2"/>
  <c r="P33" i="2"/>
  <c r="P34" i="2"/>
  <c r="P35" i="2"/>
  <c r="P36" i="2"/>
  <c r="P37" i="2"/>
  <c r="P38" i="2"/>
  <c r="P39" i="2"/>
  <c r="P40" i="2"/>
  <c r="P41" i="2"/>
  <c r="P42" i="2"/>
  <c r="P43" i="2"/>
  <c r="P44" i="2"/>
  <c r="P45" i="2"/>
  <c r="P46" i="2"/>
  <c r="P47" i="2"/>
  <c r="P48" i="2"/>
  <c r="P49" i="2"/>
  <c r="P50" i="2"/>
  <c r="P51" i="2"/>
  <c r="P52" i="2"/>
  <c r="P53" i="2"/>
  <c r="P54" i="2"/>
  <c r="P55" i="2"/>
  <c r="P56" i="2"/>
  <c r="P57" i="2"/>
  <c r="P58" i="2"/>
  <c r="P59" i="2"/>
  <c r="P60" i="2"/>
  <c r="P61" i="2"/>
  <c r="P62" i="2"/>
  <c r="P63" i="2"/>
  <c r="P64" i="2"/>
  <c r="P65" i="2"/>
  <c r="P66" i="2"/>
  <c r="P67" i="2"/>
  <c r="P9" i="2"/>
  <c r="O10" i="2"/>
  <c r="O11" i="2"/>
  <c r="O12" i="2"/>
  <c r="O13" i="2"/>
  <c r="O14" i="2"/>
  <c r="O15" i="2"/>
  <c r="O16" i="2"/>
  <c r="O17" i="2"/>
  <c r="O18" i="2"/>
  <c r="O19" i="2"/>
  <c r="O20" i="2"/>
  <c r="O21" i="2"/>
  <c r="O22" i="2"/>
  <c r="O23" i="2"/>
  <c r="O24" i="2"/>
  <c r="O25" i="2"/>
  <c r="O26" i="2"/>
  <c r="O27" i="2"/>
  <c r="O28" i="2"/>
  <c r="O29" i="2"/>
  <c r="O30" i="2"/>
  <c r="O31" i="2"/>
  <c r="O32" i="2"/>
  <c r="O33" i="2"/>
  <c r="O34" i="2"/>
  <c r="O35" i="2"/>
  <c r="O36" i="2"/>
  <c r="O37" i="2"/>
  <c r="O38" i="2"/>
  <c r="O39" i="2"/>
  <c r="O40" i="2"/>
  <c r="O41" i="2"/>
  <c r="O42" i="2"/>
  <c r="O43" i="2"/>
  <c r="O44" i="2"/>
  <c r="O45" i="2"/>
  <c r="O46" i="2"/>
  <c r="O47" i="2"/>
  <c r="O48" i="2"/>
  <c r="O49" i="2"/>
  <c r="O50" i="2"/>
  <c r="O51" i="2"/>
  <c r="O52" i="2"/>
  <c r="O53" i="2"/>
  <c r="O54" i="2"/>
  <c r="O55" i="2"/>
  <c r="O56" i="2"/>
  <c r="O57" i="2"/>
  <c r="O58" i="2"/>
  <c r="O59" i="2"/>
  <c r="O60" i="2"/>
  <c r="O61" i="2"/>
  <c r="O62" i="2"/>
  <c r="O63" i="2"/>
  <c r="O64" i="2"/>
  <c r="O65" i="2"/>
  <c r="O66" i="2"/>
  <c r="O67" i="2"/>
  <c r="O9" i="2"/>
  <c r="N10" i="2"/>
  <c r="N11" i="2"/>
  <c r="N12" i="2"/>
  <c r="N13" i="2"/>
  <c r="N14" i="2"/>
  <c r="N15" i="2"/>
  <c r="N16" i="2"/>
  <c r="N17" i="2"/>
  <c r="N18" i="2"/>
  <c r="N19" i="2"/>
  <c r="N20" i="2"/>
  <c r="N21" i="2"/>
  <c r="N22" i="2"/>
  <c r="N23" i="2"/>
  <c r="N24" i="2"/>
  <c r="N25" i="2"/>
  <c r="N26" i="2"/>
  <c r="N27" i="2"/>
  <c r="N28" i="2"/>
  <c r="N29" i="2"/>
  <c r="N30" i="2"/>
  <c r="N31" i="2"/>
  <c r="N32" i="2"/>
  <c r="N33" i="2"/>
  <c r="N34" i="2"/>
  <c r="N35" i="2"/>
  <c r="N36" i="2"/>
  <c r="N37" i="2"/>
  <c r="N38" i="2"/>
  <c r="N39" i="2"/>
  <c r="N40" i="2"/>
  <c r="N41" i="2"/>
  <c r="N42" i="2"/>
  <c r="N43" i="2"/>
  <c r="N44" i="2"/>
  <c r="N45" i="2"/>
  <c r="N46" i="2"/>
  <c r="N47" i="2"/>
  <c r="N48" i="2"/>
  <c r="N49" i="2"/>
  <c r="N50" i="2"/>
  <c r="N51" i="2"/>
  <c r="N52" i="2"/>
  <c r="N53" i="2"/>
  <c r="N54" i="2"/>
  <c r="N55" i="2"/>
  <c r="N56" i="2"/>
  <c r="N57" i="2"/>
  <c r="N58" i="2"/>
  <c r="N59" i="2"/>
  <c r="N60" i="2"/>
  <c r="N61" i="2"/>
  <c r="N62" i="2"/>
  <c r="N63" i="2"/>
  <c r="N64" i="2"/>
  <c r="N65" i="2"/>
  <c r="N66" i="2"/>
  <c r="N67" i="2"/>
  <c r="N9" i="2"/>
  <c r="M67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2" i="2"/>
  <c r="M33" i="2"/>
  <c r="M34" i="2"/>
  <c r="M35" i="2"/>
  <c r="M36" i="2"/>
  <c r="M37" i="2"/>
  <c r="M38" i="2"/>
  <c r="M39" i="2"/>
  <c r="M40" i="2"/>
  <c r="M41" i="2"/>
  <c r="M42" i="2"/>
  <c r="M43" i="2"/>
  <c r="M44" i="2"/>
  <c r="M45" i="2"/>
  <c r="M46" i="2"/>
  <c r="M47" i="2"/>
  <c r="M48" i="2"/>
  <c r="M49" i="2"/>
  <c r="M50" i="2"/>
  <c r="M51" i="2"/>
  <c r="M52" i="2"/>
  <c r="M53" i="2"/>
  <c r="M54" i="2"/>
  <c r="M55" i="2"/>
  <c r="M56" i="2"/>
  <c r="M57" i="2"/>
  <c r="M58" i="2"/>
  <c r="M59" i="2"/>
  <c r="M60" i="2"/>
  <c r="M61" i="2"/>
  <c r="M62" i="2"/>
  <c r="M63" i="2"/>
  <c r="M64" i="2"/>
  <c r="M65" i="2"/>
  <c r="M66" i="2"/>
  <c r="M10" i="2"/>
  <c r="M11" i="2"/>
  <c r="M12" i="2"/>
  <c r="M13" i="2"/>
  <c r="K68" i="2"/>
  <c r="J68" i="2"/>
  <c r="I68" i="2"/>
  <c r="K67" i="2"/>
  <c r="J67" i="2"/>
  <c r="I67" i="2"/>
  <c r="K66" i="2"/>
  <c r="J66" i="2"/>
  <c r="I66" i="2"/>
  <c r="K65" i="2"/>
  <c r="J65" i="2"/>
  <c r="I65" i="2"/>
  <c r="K64" i="2"/>
  <c r="J64" i="2"/>
  <c r="I64" i="2"/>
  <c r="K63" i="2"/>
  <c r="J63" i="2"/>
  <c r="I63" i="2"/>
  <c r="K62" i="2"/>
  <c r="J62" i="2"/>
  <c r="I62" i="2"/>
  <c r="K61" i="2"/>
  <c r="J61" i="2"/>
  <c r="I61" i="2"/>
  <c r="K60" i="2"/>
  <c r="J60" i="2"/>
  <c r="I60" i="2"/>
  <c r="K59" i="2"/>
  <c r="J59" i="2"/>
  <c r="I59" i="2"/>
  <c r="K58" i="2"/>
  <c r="J58" i="2"/>
  <c r="I58" i="2"/>
  <c r="K57" i="2"/>
  <c r="J57" i="2"/>
  <c r="I57" i="2"/>
  <c r="K56" i="2"/>
  <c r="J56" i="2"/>
  <c r="I56" i="2"/>
  <c r="K55" i="2"/>
  <c r="J55" i="2"/>
  <c r="I55" i="2"/>
  <c r="K54" i="2"/>
  <c r="J54" i="2"/>
  <c r="I54" i="2"/>
  <c r="K53" i="2"/>
  <c r="J53" i="2"/>
  <c r="I53" i="2"/>
  <c r="K52" i="2"/>
  <c r="J52" i="2"/>
  <c r="I52" i="2"/>
  <c r="K51" i="2"/>
  <c r="J51" i="2"/>
  <c r="I51" i="2"/>
  <c r="K50" i="2"/>
  <c r="J50" i="2"/>
  <c r="I50" i="2"/>
  <c r="K49" i="2"/>
  <c r="J49" i="2"/>
  <c r="I49" i="2"/>
  <c r="K48" i="2"/>
  <c r="J48" i="2"/>
  <c r="I48" i="2"/>
  <c r="K47" i="2"/>
  <c r="J47" i="2"/>
  <c r="I47" i="2"/>
  <c r="K46" i="2"/>
  <c r="J46" i="2"/>
  <c r="I46" i="2"/>
  <c r="K45" i="2"/>
  <c r="J45" i="2"/>
  <c r="I45" i="2"/>
  <c r="K44" i="2"/>
  <c r="J44" i="2"/>
  <c r="I44" i="2"/>
  <c r="K43" i="2"/>
  <c r="J43" i="2"/>
  <c r="I43" i="2"/>
  <c r="K42" i="2"/>
  <c r="J42" i="2"/>
  <c r="I42" i="2"/>
  <c r="K41" i="2"/>
  <c r="J41" i="2"/>
  <c r="I41" i="2"/>
  <c r="K40" i="2"/>
  <c r="J40" i="2"/>
  <c r="I40" i="2"/>
  <c r="K39" i="2"/>
  <c r="J39" i="2"/>
  <c r="I39" i="2"/>
  <c r="K38" i="2"/>
  <c r="J38" i="2"/>
  <c r="I38" i="2"/>
  <c r="K37" i="2"/>
  <c r="J37" i="2"/>
  <c r="I37" i="2"/>
  <c r="K36" i="2"/>
  <c r="J36" i="2"/>
  <c r="I36" i="2"/>
  <c r="K35" i="2"/>
  <c r="J35" i="2"/>
  <c r="I35" i="2"/>
  <c r="K34" i="2"/>
  <c r="J34" i="2"/>
  <c r="I34" i="2"/>
  <c r="K33" i="2"/>
  <c r="J33" i="2"/>
  <c r="I33" i="2"/>
  <c r="K32" i="2"/>
  <c r="J32" i="2"/>
  <c r="I32" i="2"/>
  <c r="K31" i="2"/>
  <c r="J31" i="2"/>
  <c r="I31" i="2"/>
  <c r="K30" i="2"/>
  <c r="J30" i="2"/>
  <c r="I30" i="2"/>
  <c r="K29" i="2"/>
  <c r="J29" i="2"/>
  <c r="I29" i="2"/>
  <c r="K28" i="2"/>
  <c r="J28" i="2"/>
  <c r="I28" i="2"/>
  <c r="K27" i="2"/>
  <c r="J27" i="2"/>
  <c r="I27" i="2"/>
  <c r="K26" i="2"/>
  <c r="J26" i="2"/>
  <c r="I26" i="2"/>
  <c r="K25" i="2"/>
  <c r="J25" i="2"/>
  <c r="I25" i="2"/>
  <c r="K24" i="2"/>
  <c r="J24" i="2"/>
  <c r="I24" i="2"/>
  <c r="K23" i="2"/>
  <c r="J23" i="2"/>
  <c r="I23" i="2"/>
  <c r="K22" i="2"/>
  <c r="J22" i="2"/>
  <c r="I22" i="2"/>
  <c r="K21" i="2"/>
  <c r="J21" i="2"/>
  <c r="I21" i="2"/>
  <c r="K20" i="2"/>
  <c r="J20" i="2"/>
  <c r="I20" i="2"/>
  <c r="K19" i="2"/>
  <c r="J19" i="2"/>
  <c r="I19" i="2"/>
  <c r="K18" i="2"/>
  <c r="J18" i="2"/>
  <c r="I18" i="2"/>
  <c r="K17" i="2"/>
  <c r="J17" i="2"/>
  <c r="I17" i="2"/>
  <c r="K16" i="2"/>
  <c r="J16" i="2"/>
  <c r="I16" i="2"/>
  <c r="K15" i="2"/>
  <c r="J15" i="2"/>
  <c r="I15" i="2"/>
  <c r="K14" i="2"/>
  <c r="J14" i="2"/>
  <c r="I14" i="2"/>
  <c r="K13" i="2"/>
  <c r="J13" i="2"/>
  <c r="I13" i="2"/>
  <c r="K12" i="2"/>
  <c r="J12" i="2"/>
  <c r="I12" i="2"/>
  <c r="K11" i="2"/>
  <c r="J11" i="2"/>
  <c r="I11" i="2"/>
  <c r="K10" i="2"/>
  <c r="J10" i="2"/>
  <c r="I10" i="2"/>
  <c r="K9" i="2"/>
  <c r="J9" i="2"/>
  <c r="I9" i="2"/>
  <c r="J54" i="7" l="1"/>
  <c r="K53" i="7"/>
  <c r="J30" i="7"/>
  <c r="G43" i="7"/>
  <c r="G15" i="7"/>
  <c r="K27" i="7"/>
  <c r="K17" i="7"/>
  <c r="G42" i="7"/>
  <c r="G14" i="7"/>
  <c r="K26" i="7"/>
  <c r="K16" i="7"/>
  <c r="K55" i="7"/>
  <c r="K5" i="7"/>
  <c r="G39" i="7"/>
  <c r="G4" i="7"/>
  <c r="G50" i="7"/>
  <c r="G37" i="7"/>
  <c r="G25" i="7"/>
  <c r="G13" i="7"/>
  <c r="G62" i="7"/>
  <c r="G49" i="7"/>
  <c r="G36" i="7"/>
  <c r="G24" i="7"/>
  <c r="G12" i="7"/>
  <c r="G60" i="7"/>
  <c r="G47" i="7"/>
  <c r="G35" i="7"/>
  <c r="G23" i="7"/>
  <c r="G10" i="7"/>
  <c r="G59" i="7"/>
  <c r="G46" i="7"/>
  <c r="G34" i="7"/>
  <c r="G22" i="7"/>
  <c r="G9" i="7"/>
  <c r="G57" i="7"/>
  <c r="G45" i="7"/>
  <c r="G33" i="7"/>
  <c r="G20" i="7"/>
  <c r="G7" i="7"/>
  <c r="G56" i="7"/>
  <c r="G44" i="7"/>
  <c r="G32" i="7"/>
  <c r="G19" i="7"/>
  <c r="G6" i="7"/>
  <c r="G58" i="7"/>
  <c r="G48" i="7"/>
  <c r="G38" i="7"/>
  <c r="G28" i="7"/>
  <c r="G18" i="7"/>
  <c r="G8" i="7"/>
  <c r="G61" i="7"/>
  <c r="G51" i="7"/>
  <c r="G41" i="7"/>
  <c r="G31" i="7"/>
  <c r="G21" i="7"/>
  <c r="J8" i="7" l="1"/>
  <c r="K8" i="7"/>
  <c r="J7" i="7"/>
  <c r="K7" i="7"/>
  <c r="J62" i="7"/>
  <c r="K62" i="7"/>
  <c r="J13" i="7"/>
  <c r="K13" i="7"/>
  <c r="J48" i="7"/>
  <c r="K48" i="7"/>
  <c r="J45" i="7"/>
  <c r="K45" i="7"/>
  <c r="J47" i="7"/>
  <c r="K47" i="7"/>
  <c r="J50" i="7"/>
  <c r="K50" i="7"/>
  <c r="J18" i="7"/>
  <c r="K18" i="7"/>
  <c r="J23" i="7"/>
  <c r="K23" i="7"/>
  <c r="J37" i="7"/>
  <c r="K37" i="7"/>
  <c r="J21" i="7"/>
  <c r="K21" i="7"/>
  <c r="J58" i="7"/>
  <c r="K58" i="7"/>
  <c r="J57" i="7"/>
  <c r="K57" i="7"/>
  <c r="K60" i="7"/>
  <c r="J60" i="7"/>
  <c r="J4" i="7"/>
  <c r="K4" i="7"/>
  <c r="J15" i="7"/>
  <c r="K15" i="7"/>
  <c r="K59" i="7"/>
  <c r="J59" i="7"/>
  <c r="K20" i="7"/>
  <c r="J20" i="7"/>
  <c r="J33" i="7"/>
  <c r="K33" i="7"/>
  <c r="J31" i="7"/>
  <c r="K31" i="7"/>
  <c r="J6" i="7"/>
  <c r="K6" i="7"/>
  <c r="J9" i="7"/>
  <c r="K9" i="7"/>
  <c r="J12" i="7"/>
  <c r="K12" i="7"/>
  <c r="J39" i="7"/>
  <c r="K39" i="7"/>
  <c r="J43" i="7"/>
  <c r="K43" i="7"/>
  <c r="K14" i="7"/>
  <c r="J14" i="7"/>
  <c r="J28" i="7"/>
  <c r="K28" i="7"/>
  <c r="K41" i="7"/>
  <c r="J41" i="7"/>
  <c r="K19" i="7"/>
  <c r="J19" i="7"/>
  <c r="J22" i="7"/>
  <c r="K22" i="7"/>
  <c r="K24" i="7"/>
  <c r="J24" i="7"/>
  <c r="J10" i="7"/>
  <c r="K10" i="7"/>
  <c r="J42" i="7"/>
  <c r="K42" i="7"/>
  <c r="J35" i="7"/>
  <c r="K35" i="7"/>
  <c r="J51" i="7"/>
  <c r="K51" i="7"/>
  <c r="J32" i="7"/>
  <c r="K32" i="7"/>
  <c r="K34" i="7"/>
  <c r="J34" i="7"/>
  <c r="J36" i="7"/>
  <c r="K36" i="7"/>
  <c r="J56" i="7"/>
  <c r="K56" i="7"/>
  <c r="J25" i="7"/>
  <c r="K25" i="7"/>
  <c r="J38" i="7"/>
  <c r="K38" i="7"/>
  <c r="K61" i="7"/>
  <c r="J61" i="7"/>
  <c r="K44" i="7"/>
  <c r="J44" i="7"/>
  <c r="J46" i="7"/>
  <c r="K46" i="7"/>
  <c r="K49" i="7"/>
  <c r="J49" i="7"/>
</calcChain>
</file>

<file path=xl/sharedStrings.xml><?xml version="1.0" encoding="utf-8"?>
<sst xmlns="http://schemas.openxmlformats.org/spreadsheetml/2006/main" count="537" uniqueCount="141">
  <si>
    <t>Exhibit 6</t>
  </si>
  <si>
    <t>2012 FUEL HEDGING AT JETBLUE AIRWAYS</t>
  </si>
  <si>
    <t>Jet Fuel, Heating Oil, WTI, and Brent Crude Oil Spot Prices, 2007–2011 (Monthly)</t>
  </si>
  <si>
    <r>
      <t>S-F</t>
    </r>
    <r>
      <rPr>
        <b/>
        <vertAlign val="subscript"/>
        <sz val="10"/>
        <rFont val="Times New Roman"/>
        <family val="1"/>
      </rPr>
      <t>1</t>
    </r>
  </si>
  <si>
    <r>
      <t>S-F</t>
    </r>
    <r>
      <rPr>
        <b/>
        <vertAlign val="subscript"/>
        <sz val="10"/>
        <rFont val="Times New Roman"/>
        <family val="1"/>
      </rPr>
      <t>2</t>
    </r>
  </si>
  <si>
    <r>
      <t>S-F</t>
    </r>
    <r>
      <rPr>
        <b/>
        <vertAlign val="subscript"/>
        <sz val="10"/>
        <rFont val="Times New Roman"/>
        <family val="1"/>
      </rPr>
      <t>3</t>
    </r>
  </si>
  <si>
    <t>Year</t>
  </si>
  <si>
    <t>JET FUEL 
(U.S. Gulf Coast Kerosene-Type Jet Fuel Spot Price FOB, Dollars per Gallon)</t>
  </si>
  <si>
    <t>WTI 
(Cushing, OK WTI Spot Price FOB, Dollars per Barrel)</t>
  </si>
  <si>
    <t>BRENT 
(Europe Brent Spot Price FOB, Dollars per Barrel)</t>
  </si>
  <si>
    <t>HEATING OIL 
(New York Harbor No. 2 Heating Oil Spot Price FOB, Dollars per Gallon)</t>
  </si>
  <si>
    <t>Basis vs. WTI Oil
(per gallon, 1 barrel = 42 gallons)</t>
  </si>
  <si>
    <t>Basis vs. Brent Oil
(per gallon, 1 barrel = 42 gallons)</t>
  </si>
  <si>
    <t>Basis vs. Heating Oil
(per gallon)</t>
  </si>
  <si>
    <t>Data source: “Petroleum &amp; Other Liquids, Spot Prices,” U.S. Energy Information Administration website, http://www.eia.gov/dnav/pet/pet_pri_spt_s1_d.htm.</t>
  </si>
  <si>
    <t>JET FUEL</t>
  </si>
  <si>
    <t>WTI</t>
  </si>
  <si>
    <t>BRENT</t>
  </si>
  <si>
    <t>HEATING OIL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</si>
  <si>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</si>
  <si>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</si>
  <si>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</si>
  <si>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</si>
  <si>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</si>
  <si>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</si>
  <si>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</si>
  <si>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</si>
  <si>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Regression</t>
  </si>
  <si>
    <t>Residual</t>
  </si>
  <si>
    <t>Total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</si>
  <si>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</si>
  <si>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</si>
  <si>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</si>
  <si>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</si>
  <si>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</si>
  <si>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</si>
  <si>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</si>
  <si>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</si>
  <si>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</si>
  <si>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</si>
  <si>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</si>
  <si>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</si>
  <si>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</si>
  <si>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X Variable 1</t>
  </si>
  <si>
    <t>RESIDUAL OUTPUT</t>
  </si>
  <si>
    <t>Observation</t>
  </si>
  <si>
    <t>Predicted Y</t>
  </si>
  <si>
    <t>Residuals</t>
  </si>
  <si>
    <t>D S (Change in JET FUEL Oil 
(per gallon))</t>
  </si>
  <si>
    <r>
      <t>D F</t>
    </r>
    <r>
      <rPr>
        <b/>
        <vertAlign val="subscript"/>
        <sz val="10"/>
        <rFont val="Times New Roman"/>
        <family val="1"/>
      </rPr>
      <t>1</t>
    </r>
    <r>
      <rPr>
        <b/>
        <sz val="10"/>
        <rFont val="Times New Roman"/>
        <family val="1"/>
      </rPr>
      <t xml:space="preserve"> (Change in WTI Oil
(per gallon, 1 barrel = 42 gallons))</t>
    </r>
  </si>
  <si>
    <r>
      <t>D F</t>
    </r>
    <r>
      <rPr>
        <b/>
        <vertAlign val="subscript"/>
        <sz val="10"/>
        <rFont val="Times New Roman"/>
        <family val="1"/>
      </rPr>
      <t>2</t>
    </r>
    <r>
      <rPr>
        <b/>
        <sz val="10"/>
        <rFont val="Times New Roman"/>
        <family val="1"/>
      </rPr>
      <t xml:space="preserve"> (Change in BRENT Oil
(per gallon, 1 barrel = 42 gallons))</t>
    </r>
  </si>
  <si>
    <r>
      <t>D F</t>
    </r>
    <r>
      <rPr>
        <b/>
        <vertAlign val="subscript"/>
        <sz val="10"/>
        <rFont val="Times New Roman"/>
        <family val="1"/>
      </rPr>
      <t>3</t>
    </r>
    <r>
      <rPr>
        <b/>
        <sz val="10"/>
        <rFont val="Times New Roman"/>
        <family val="1"/>
      </rPr>
      <t xml:space="preserve"> (Change in HEATING Oil
(per gallon))</t>
    </r>
  </si>
  <si>
    <t>D F1 (Change in WTI Oil
(per gallon, 1 barrel = 42 gallons))</t>
  </si>
  <si>
    <t>Predicted D S (Change in JET FUEL Oil 
(per gallon))</t>
  </si>
  <si>
    <t>D F2 (Change in BRENT Oil
(per gallon, 1 barrel = 42 gallons))</t>
  </si>
  <si>
    <t>Month</t>
  </si>
  <si>
    <t>Profits &amp; Losses (P&amp;L) :</t>
  </si>
  <si>
    <t>(SHORT)</t>
  </si>
  <si>
    <t>(LONG)</t>
  </si>
  <si>
    <t>P&amp;L before hedge</t>
  </si>
  <si>
    <t>P&amp;L of Hedge (12 long contracts WTI oil futures)</t>
  </si>
  <si>
    <t>P&amp;L after WTI hedge</t>
  </si>
  <si>
    <t>WTI  HEDGE</t>
  </si>
  <si>
    <t>Position size (jet fuel − gallons):</t>
  </si>
  <si>
    <t>Futures contract size (1,000 barrels = 42,000 gallons)</t>
  </si>
  <si>
    <t>Optimal Hedge Ratio</t>
  </si>
  <si>
    <t xml:space="preserve">Number futures contracts to go long: </t>
  </si>
  <si>
    <t>Mean</t>
  </si>
  <si>
    <t>Median</t>
  </si>
  <si>
    <t>Mode</t>
  </si>
  <si>
    <t>Standard Deviation</t>
  </si>
  <si>
    <t>Sample Variance</t>
  </si>
  <si>
    <t>Kurtosis</t>
  </si>
  <si>
    <t>Skewness</t>
  </si>
  <si>
    <t>Range</t>
  </si>
  <si>
    <t>Minimum</t>
  </si>
  <si>
    <t>Maximum</t>
  </si>
  <si>
    <t>Sum</t>
  </si>
  <si>
    <t>Count</t>
  </si>
  <si>
    <t>P&amp;L of Hedge (12 long contracts Brent oil futures)</t>
  </si>
  <si>
    <t>P&amp;L after Brent hedge</t>
  </si>
  <si>
    <t>P&amp;L after WTI hedge (minus)</t>
  </si>
  <si>
    <t>P&amp;L after Brent hedge (minus)</t>
  </si>
  <si>
    <t>D F3 (Change in HEATING Oil
(per gallon))</t>
  </si>
  <si>
    <t>Brent HEDGE</t>
  </si>
  <si>
    <t>Brent</t>
  </si>
  <si>
    <t>Heating Oil</t>
  </si>
  <si>
    <t>Exhibit 4</t>
  </si>
  <si>
    <t>Jet Fuel Hedging Positions for Major U.S. Airlines</t>
  </si>
  <si>
    <t>Region</t>
  </si>
  <si>
    <t>Company</t>
  </si>
  <si>
    <t>Disclosure Date</t>
  </si>
  <si>
    <t>% Hedged</t>
  </si>
  <si>
    <t>Hedging Period</t>
  </si>
  <si>
    <t>U.S.</t>
  </si>
  <si>
    <t>Alaska Air Group Inc.</t>
  </si>
  <si>
    <t>Fourth quarter</t>
  </si>
  <si>
    <t>US</t>
  </si>
  <si>
    <t>EUR</t>
  </si>
  <si>
    <t>ASIA</t>
  </si>
  <si>
    <t>American Airlines</t>
  </si>
  <si>
    <t>Delta Air Lines Inc.</t>
  </si>
  <si>
    <t>First half 2012</t>
  </si>
  <si>
    <t>Hawaiian Airlines</t>
  </si>
  <si>
    <t>JetBlue Airways Corporation</t>
  </si>
  <si>
    <t>Southwest Airlines Co.</t>
  </si>
  <si>
    <t>hedged*</t>
  </si>
  <si>
    <t>United Continental Holdings Inc.</t>
  </si>
  <si>
    <t>US Airways Group Inc.</t>
  </si>
  <si>
    <t>WestJet Airlines</t>
  </si>
  <si>
    <t>Europe</t>
  </si>
  <si>
    <t>Air France-KLM Group</t>
  </si>
  <si>
    <t>November 2011</t>
  </si>
  <si>
    <t>October to December 2011</t>
  </si>
  <si>
    <t>Aer Lingus Group Plc.</t>
  </si>
  <si>
    <t>February 2012</t>
  </si>
  <si>
    <t>January to March 2012</t>
  </si>
  <si>
    <t>Deutsche Lufthansa AG</t>
  </si>
  <si>
    <t>March 2012</t>
  </si>
  <si>
    <t>EasyJet Plc.</t>
  </si>
  <si>
    <t>Year to September 2012</t>
  </si>
  <si>
    <t>Ryanair Holdings Plc.</t>
  </si>
  <si>
    <t>January 2012</t>
  </si>
  <si>
    <t>Year to March 2012</t>
  </si>
  <si>
    <t>SAS Group</t>
  </si>
  <si>
    <t>May 2012</t>
  </si>
  <si>
    <t>April to June 2012</t>
  </si>
  <si>
    <t>Asia</t>
  </si>
  <si>
    <t>Air China</t>
  </si>
  <si>
    <t>FY11/12</t>
  </si>
  <si>
    <t>Cathay Pacific</t>
  </si>
  <si>
    <t>March 2011</t>
  </si>
  <si>
    <t>China Airlines</t>
  </si>
  <si>
    <t>China Eastern Airlines</t>
  </si>
  <si>
    <t>China Southern Airlines</t>
  </si>
  <si>
    <t>EVA Airways Corp.</t>
  </si>
  <si>
    <t>Jet Airways</t>
  </si>
  <si>
    <t>Korean Air</t>
  </si>
  <si>
    <t>Qantas Airways</t>
  </si>
  <si>
    <t>Singapore Airlines</t>
  </si>
  <si>
    <t>Data source: Bloomberg, “Jet Fuel Hedging Positions for U.S., Canadian Airlines,” November 10, 2011; “Jet Fuel Hedging Positions for Europe-Based Airlines,” May 3, 2012; HSBC Global Research, “Asian Airlines—Fuelling a Shift to Premium Carriers,” March 3, 2011.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</si>
</sst>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mmm\-yyyy"/>
    <numFmt numFmtId="165" formatCode="0.000"/>
    <numFmt numFmtId="166" formatCode="0.0"/>
    <numFmt numFmtId="167" formatCode="0.000_);\(0.000\)"/>
    <numFmt numFmtId="168" formatCode="0.0000"/>
  </numFmts>
  <fonts count="13" x14ac:knownFonts="1">
    <font>
      <sz val="12"/>
      <color theme="1"/>
      <name val="Aptos Narrow"/>
      <family val="2"/>
      <scheme val="minor"/>
    </font>
    <font>
      <sz val="12"/>
      <color rgb="FFFF0000"/>
      <name val="Aptos Narrow"/>
      <family val="2"/>
      <scheme val="minor"/>
    </font>
    <font>
      <sz val="10"/>
      <name val="Arial"/>
      <family val="2"/>
    </font>
    <font>
      <sz val="12"/>
      <name val="Times New Roman"/>
      <family val="1"/>
    </font>
    <font>
      <b/>
      <sz val="12"/>
      <name val="Times New Roman"/>
      <family val="1"/>
    </font>
    <font>
      <b/>
      <sz val="10"/>
      <name val="Times New Roman"/>
      <family val="1"/>
    </font>
    <font>
      <b/>
      <vertAlign val="subscript"/>
      <sz val="10"/>
      <name val="Times New Roman"/>
      <family val="1"/>
    </font>
    <font>
      <sz val="10"/>
      <name val="Times New Roman"/>
      <family val="1"/>
    </font>
    <font>
      <i/>
      <sz val="12"/>
      <color theme="1"/>
      <name val="Aptos Narrow"/>
      <family val="2"/>
      <scheme val="minor"/>
    </font>
    <font>
      <b/>
      <i/>
      <sz val="12"/>
      <color theme="1"/>
      <name val="Aptos Narrow"/>
      <scheme val="minor"/>
    </font>
    <font>
      <b/>
      <sz val="12"/>
      <color theme="1"/>
      <name val="Aptos Narrow"/>
      <scheme val="minor"/>
    </font>
    <font>
      <sz val="12"/>
      <color rgb="FF000000"/>
      <name val="Aptos Narrow"/>
      <family val="2"/>
      <scheme val="minor"/>
    </font>
    <font>
      <i/>
      <sz val="1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D9D9D9"/>
        <bgColor indexed="64"/>
      </patternFill>
    </fill>
  </fills>
  <borders count="2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rgb="FFA6A6A6"/>
      </left>
      <right style="medium">
        <color rgb="FFA6A6A6"/>
      </right>
      <top style="medium">
        <color rgb="FFA6A6A6"/>
      </top>
      <bottom style="medium">
        <color rgb="FFA6A6A6"/>
      </bottom>
      <diagonal/>
    </border>
    <border>
      <left/>
      <right style="medium">
        <color rgb="FFA6A6A6"/>
      </right>
      <top style="medium">
        <color rgb="FFA6A6A6"/>
      </top>
      <bottom style="medium">
        <color rgb="FFA6A6A6"/>
      </bottom>
      <diagonal/>
    </border>
    <border>
      <left style="medium">
        <color rgb="FFA6A6A6"/>
      </left>
      <right/>
      <top style="medium">
        <color rgb="FFA6A6A6"/>
      </top>
      <bottom/>
      <diagonal/>
    </border>
    <border>
      <left style="medium">
        <color rgb="FFA6A6A6"/>
      </left>
      <right style="medium">
        <color rgb="FFA6A6A6"/>
      </right>
      <top style="medium">
        <color rgb="FFA6A6A6"/>
      </top>
      <bottom/>
      <diagonal/>
    </border>
    <border>
      <left/>
      <right style="medium">
        <color rgb="FFA6A6A6"/>
      </right>
      <top style="medium">
        <color rgb="FFA6A6A6"/>
      </top>
      <bottom/>
      <diagonal/>
    </border>
    <border>
      <left style="medium">
        <color rgb="FFA6A6A6"/>
      </left>
      <right/>
      <top/>
      <bottom/>
      <diagonal/>
    </border>
    <border>
      <left style="medium">
        <color rgb="FFA6A6A6"/>
      </left>
      <right style="medium">
        <color rgb="FFA6A6A6"/>
      </right>
      <top/>
      <bottom/>
      <diagonal/>
    </border>
    <border>
      <left/>
      <right style="medium">
        <color rgb="FFA6A6A6"/>
      </right>
      <top/>
      <bottom/>
      <diagonal/>
    </border>
    <border>
      <left style="medium">
        <color rgb="FFA6A6A6"/>
      </left>
      <right/>
      <top/>
      <bottom style="medium">
        <color rgb="FFA6A6A6"/>
      </bottom>
      <diagonal/>
    </border>
    <border>
      <left style="medium">
        <color rgb="FFA6A6A6"/>
      </left>
      <right style="medium">
        <color rgb="FFA6A6A6"/>
      </right>
      <top/>
      <bottom style="medium">
        <color rgb="FFA6A6A6"/>
      </bottom>
      <diagonal/>
    </border>
    <border>
      <left/>
      <right style="medium">
        <color rgb="FFA6A6A6"/>
      </right>
      <top/>
      <bottom style="medium">
        <color rgb="FFA6A6A6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4">
    <xf numFmtId="0" fontId="0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</cellStyleXfs>
  <cellXfs count="107">
    <xf numFmtId="0" fontId="0" fillId="0" borderId="0" xfId="0"/>
    <xf numFmtId="0" fontId="3" fillId="0" borderId="0" xfId="1" applyFont="1" applyAlignment="1">
      <alignment horizontal="center" vertical="center"/>
    </xf>
    <xf numFmtId="0" fontId="2" fillId="0" borderId="0" xfId="1"/>
    <xf numFmtId="0" fontId="4" fillId="0" borderId="0" xfId="1" applyFont="1" applyAlignment="1">
      <alignment horizontal="center" vertical="center"/>
    </xf>
    <xf numFmtId="0" fontId="3" fillId="0" borderId="0" xfId="1" applyFont="1" applyAlignment="1">
      <alignment horizontal="center"/>
    </xf>
    <xf numFmtId="164" fontId="2" fillId="0" borderId="0" xfId="1" applyNumberFormat="1"/>
    <xf numFmtId="165" fontId="2" fillId="0" borderId="0" xfId="1" applyNumberFormat="1"/>
    <xf numFmtId="165" fontId="5" fillId="0" borderId="1" xfId="2" applyNumberFormat="1" applyFont="1" applyBorder="1" applyAlignment="1">
      <alignment horizontal="center"/>
    </xf>
    <xf numFmtId="0" fontId="5" fillId="0" borderId="1" xfId="2" applyFont="1" applyBorder="1" applyAlignment="1">
      <alignment horizontal="center"/>
    </xf>
    <xf numFmtId="164" fontId="7" fillId="0" borderId="2" xfId="1" applyNumberFormat="1" applyFont="1" applyBorder="1" applyAlignment="1">
      <alignment horizontal="center" vertical="center"/>
    </xf>
    <xf numFmtId="0" fontId="7" fillId="0" borderId="3" xfId="1" applyFont="1" applyBorder="1" applyAlignment="1">
      <alignment horizontal="center" vertical="center" wrapText="1"/>
    </xf>
    <xf numFmtId="165" fontId="7" fillId="0" borderId="1" xfId="2" applyNumberFormat="1" applyFont="1" applyBorder="1" applyAlignment="1">
      <alignment horizontal="center" vertical="center" wrapText="1"/>
    </xf>
    <xf numFmtId="0" fontId="7" fillId="0" borderId="1" xfId="2" applyFont="1" applyBorder="1" applyAlignment="1">
      <alignment horizontal="center" vertical="center" wrapText="1"/>
    </xf>
    <xf numFmtId="164" fontId="7" fillId="0" borderId="4" xfId="1" applyNumberFormat="1" applyFont="1" applyBorder="1"/>
    <xf numFmtId="0" fontId="7" fillId="0" borderId="5" xfId="1" applyFont="1" applyBorder="1" applyAlignment="1">
      <alignment horizontal="center" vertical="top"/>
    </xf>
    <xf numFmtId="0" fontId="7" fillId="0" borderId="3" xfId="1" applyFont="1" applyBorder="1" applyAlignment="1">
      <alignment horizontal="center" vertical="top"/>
    </xf>
    <xf numFmtId="166" fontId="2" fillId="0" borderId="0" xfId="1" applyNumberFormat="1"/>
    <xf numFmtId="167" fontId="7" fillId="0" borderId="0" xfId="1" applyNumberFormat="1" applyFont="1" applyAlignment="1">
      <alignment horizontal="center" vertical="top"/>
    </xf>
    <xf numFmtId="167" fontId="7" fillId="0" borderId="0" xfId="1" applyNumberFormat="1" applyFont="1" applyAlignment="1">
      <alignment horizontal="center"/>
    </xf>
    <xf numFmtId="0" fontId="7" fillId="0" borderId="0" xfId="1" applyFont="1" applyAlignment="1">
      <alignment horizontal="left" vertical="center"/>
    </xf>
    <xf numFmtId="0" fontId="0" fillId="0" borderId="0" xfId="0" applyFill="1" applyBorder="1" applyAlignment="1"/>
    <xf numFmtId="0" fontId="0" fillId="0" borderId="7" xfId="0" applyFill="1" applyBorder="1" applyAlignment="1"/>
    <xf numFmtId="0" fontId="8" fillId="0" borderId="8" xfId="0" applyFont="1" applyFill="1" applyBorder="1" applyAlignment="1">
      <alignment horizontal="center"/>
    </xf>
    <xf numFmtId="0" fontId="0" fillId="2" borderId="0" xfId="0" applyFill="1" applyBorder="1" applyAlignment="1"/>
    <xf numFmtId="0" fontId="0" fillId="2" borderId="7" xfId="0" applyFill="1" applyBorder="1" applyAlignment="1"/>
    <xf numFmtId="0" fontId="9" fillId="2" borderId="8" xfId="0" applyFont="1" applyFill="1" applyBorder="1" applyAlignment="1">
      <alignment horizontal="center"/>
    </xf>
    <xf numFmtId="0" fontId="10" fillId="2" borderId="0" xfId="0" applyFont="1" applyFill="1" applyBorder="1" applyAlignment="1"/>
    <xf numFmtId="0" fontId="10" fillId="2" borderId="9" xfId="0" applyFont="1" applyFill="1" applyBorder="1" applyAlignment="1"/>
    <xf numFmtId="168" fontId="0" fillId="0" borderId="0" xfId="0" applyNumberFormat="1" applyFill="1" applyBorder="1" applyAlignment="1"/>
    <xf numFmtId="168" fontId="0" fillId="0" borderId="7" xfId="0" applyNumberFormat="1" applyFill="1" applyBorder="1" applyAlignment="1"/>
    <xf numFmtId="0" fontId="8" fillId="0" borderId="8" xfId="0" applyFont="1" applyFill="1" applyBorder="1" applyAlignment="1">
      <alignment horizontal="centerContinuous"/>
    </xf>
    <xf numFmtId="0" fontId="9" fillId="0" borderId="8" xfId="0" applyFont="1" applyFill="1" applyBorder="1" applyAlignment="1">
      <alignment horizontal="centerContinuous"/>
    </xf>
    <xf numFmtId="0" fontId="9" fillId="2" borderId="8" xfId="0" applyFont="1" applyFill="1" applyBorder="1" applyAlignment="1">
      <alignment horizontal="centerContinuous"/>
    </xf>
    <xf numFmtId="0" fontId="10" fillId="2" borderId="7" xfId="0" applyFont="1" applyFill="1" applyBorder="1" applyAlignment="1"/>
    <xf numFmtId="0" fontId="1" fillId="2" borderId="0" xfId="0" applyFont="1" applyFill="1" applyBorder="1" applyAlignment="1"/>
    <xf numFmtId="0" fontId="5" fillId="2" borderId="6" xfId="2" applyFont="1" applyFill="1" applyBorder="1" applyAlignment="1">
      <alignment horizontal="center" wrapText="1"/>
    </xf>
    <xf numFmtId="0" fontId="0" fillId="0" borderId="0" xfId="0" applyAlignment="1">
      <alignment wrapText="1"/>
    </xf>
    <xf numFmtId="0" fontId="0" fillId="0" borderId="7" xfId="0" applyFill="1" applyBorder="1" applyAlignment="1">
      <alignment wrapText="1"/>
    </xf>
    <xf numFmtId="0" fontId="8" fillId="0" borderId="8" xfId="0" applyFont="1" applyFill="1" applyBorder="1" applyAlignment="1">
      <alignment horizontal="center" wrapText="1"/>
    </xf>
    <xf numFmtId="0" fontId="10" fillId="0" borderId="0" xfId="0" applyFont="1"/>
    <xf numFmtId="0" fontId="10" fillId="0" borderId="0" xfId="0" applyFont="1" applyAlignment="1">
      <alignment wrapText="1"/>
    </xf>
    <xf numFmtId="0" fontId="5" fillId="2" borderId="1" xfId="1" applyFont="1" applyFill="1" applyBorder="1"/>
    <xf numFmtId="0" fontId="7" fillId="2" borderId="1" xfId="1" applyFont="1" applyFill="1" applyBorder="1"/>
    <xf numFmtId="0" fontId="5" fillId="2" borderId="1" xfId="1" applyFont="1" applyFill="1" applyBorder="1" applyAlignment="1">
      <alignment horizontal="center"/>
    </xf>
    <xf numFmtId="0" fontId="5" fillId="2" borderId="1" xfId="1" applyFont="1" applyFill="1" applyBorder="1" applyAlignment="1">
      <alignment horizontal="center" vertical="center" wrapText="1"/>
    </xf>
    <xf numFmtId="0" fontId="7" fillId="0" borderId="6" xfId="1" applyFont="1" applyBorder="1"/>
    <xf numFmtId="0" fontId="5" fillId="2" borderId="6" xfId="1" applyFont="1" applyFill="1" applyBorder="1" applyAlignment="1">
      <alignment horizontal="center"/>
    </xf>
    <xf numFmtId="0" fontId="7" fillId="0" borderId="0" xfId="1" applyFont="1"/>
    <xf numFmtId="0" fontId="7" fillId="2" borderId="0" xfId="1" applyFont="1" applyFill="1"/>
    <xf numFmtId="0" fontId="5" fillId="3" borderId="0" xfId="1" applyFont="1" applyFill="1"/>
    <xf numFmtId="0" fontId="7" fillId="3" borderId="0" xfId="1" applyFont="1" applyFill="1"/>
    <xf numFmtId="0" fontId="5" fillId="3" borderId="0" xfId="1" applyFont="1" applyFill="1" applyAlignment="1">
      <alignment horizontal="center"/>
    </xf>
    <xf numFmtId="37" fontId="7" fillId="2" borderId="0" xfId="1" applyNumberFormat="1" applyFont="1" applyFill="1" applyAlignment="1">
      <alignment horizontal="center"/>
    </xf>
    <xf numFmtId="0" fontId="7" fillId="3" borderId="0" xfId="1" applyFont="1" applyFill="1" applyAlignment="1">
      <alignment horizontal="center"/>
    </xf>
    <xf numFmtId="3" fontId="7" fillId="2" borderId="0" xfId="1" applyNumberFormat="1" applyFont="1" applyFill="1" applyAlignment="1">
      <alignment horizontal="center"/>
    </xf>
    <xf numFmtId="165" fontId="7" fillId="2" borderId="0" xfId="1" applyNumberFormat="1" applyFont="1" applyFill="1" applyAlignment="1">
      <alignment horizontal="center"/>
    </xf>
    <xf numFmtId="166" fontId="7" fillId="2" borderId="0" xfId="1" applyNumberFormat="1" applyFont="1" applyFill="1" applyAlignment="1">
      <alignment horizontal="center"/>
    </xf>
    <xf numFmtId="0" fontId="9" fillId="2" borderId="8" xfId="0" applyFont="1" applyFill="1" applyBorder="1" applyAlignment="1">
      <alignment horizontal="centerContinuous" wrapText="1"/>
    </xf>
    <xf numFmtId="0" fontId="5" fillId="4" borderId="6" xfId="2" applyFont="1" applyFill="1" applyBorder="1" applyAlignment="1">
      <alignment horizontal="center" wrapText="1"/>
    </xf>
    <xf numFmtId="0" fontId="8" fillId="4" borderId="8" xfId="0" applyFont="1" applyFill="1" applyBorder="1" applyAlignment="1">
      <alignment horizontal="center"/>
    </xf>
    <xf numFmtId="0" fontId="0" fillId="4" borderId="0" xfId="0" applyFill="1" applyBorder="1" applyAlignment="1"/>
    <xf numFmtId="0" fontId="0" fillId="4" borderId="7" xfId="0" applyFill="1" applyBorder="1" applyAlignment="1"/>
    <xf numFmtId="0" fontId="9" fillId="4" borderId="8" xfId="0" applyFont="1" applyFill="1" applyBorder="1" applyAlignment="1">
      <alignment horizontal="center"/>
    </xf>
    <xf numFmtId="0" fontId="10" fillId="4" borderId="0" xfId="0" applyFont="1" applyFill="1" applyBorder="1" applyAlignment="1"/>
    <xf numFmtId="0" fontId="10" fillId="4" borderId="9" xfId="0" applyFont="1" applyFill="1" applyBorder="1" applyAlignment="1"/>
    <xf numFmtId="0" fontId="11" fillId="0" borderId="0" xfId="0" applyFont="1"/>
    <xf numFmtId="0" fontId="11" fillId="5" borderId="0" xfId="0" applyFont="1" applyFill="1"/>
    <xf numFmtId="0" fontId="11" fillId="0" borderId="7" xfId="0" applyFont="1" applyBorder="1"/>
    <xf numFmtId="0" fontId="3" fillId="0" borderId="0" xfId="1" applyFont="1"/>
    <xf numFmtId="0" fontId="7" fillId="6" borderId="10" xfId="1" applyFont="1" applyFill="1" applyBorder="1" applyAlignment="1">
      <alignment vertical="center" wrapText="1"/>
    </xf>
    <xf numFmtId="0" fontId="7" fillId="6" borderId="11" xfId="1" applyFont="1" applyFill="1" applyBorder="1" applyAlignment="1">
      <alignment vertical="center"/>
    </xf>
    <xf numFmtId="0" fontId="7" fillId="6" borderId="11" xfId="1" applyFont="1" applyFill="1" applyBorder="1" applyAlignment="1">
      <alignment horizontal="center" vertical="center"/>
    </xf>
    <xf numFmtId="0" fontId="7" fillId="0" borderId="12" xfId="1" applyFont="1" applyBorder="1" applyAlignment="1">
      <alignment vertical="center" wrapText="1"/>
    </xf>
    <xf numFmtId="0" fontId="7" fillId="0" borderId="12" xfId="1" applyFont="1" applyBorder="1" applyAlignment="1">
      <alignment vertical="center"/>
    </xf>
    <xf numFmtId="14" fontId="7" fillId="0" borderId="12" xfId="1" applyNumberFormat="1" applyFont="1" applyBorder="1" applyAlignment="1">
      <alignment horizontal="center" vertical="center"/>
    </xf>
    <xf numFmtId="9" fontId="7" fillId="0" borderId="13" xfId="1" applyNumberFormat="1" applyFont="1" applyBorder="1" applyAlignment="1">
      <alignment horizontal="center" vertical="center"/>
    </xf>
    <xf numFmtId="0" fontId="7" fillId="0" borderId="14" xfId="1" applyFont="1" applyBorder="1" applyAlignment="1">
      <alignment horizontal="center" vertical="center"/>
    </xf>
    <xf numFmtId="0" fontId="12" fillId="0" borderId="8" xfId="1" applyFont="1" applyBorder="1" applyAlignment="1">
      <alignment horizontal="centerContinuous"/>
    </xf>
    <xf numFmtId="0" fontId="7" fillId="0" borderId="15" xfId="1" applyFont="1" applyBorder="1" applyAlignment="1">
      <alignment vertical="center" wrapText="1"/>
    </xf>
    <xf numFmtId="0" fontId="7" fillId="0" borderId="15" xfId="1" applyFont="1" applyBorder="1" applyAlignment="1">
      <alignment vertical="center"/>
    </xf>
    <xf numFmtId="14" fontId="7" fillId="0" borderId="15" xfId="1" applyNumberFormat="1" applyFont="1" applyBorder="1" applyAlignment="1">
      <alignment horizontal="center" vertical="center"/>
    </xf>
    <xf numFmtId="9" fontId="7" fillId="0" borderId="16" xfId="1" applyNumberFormat="1" applyFont="1" applyBorder="1" applyAlignment="1">
      <alignment horizontal="center" vertical="center"/>
    </xf>
    <xf numFmtId="0" fontId="7" fillId="0" borderId="17" xfId="1" applyFont="1" applyBorder="1" applyAlignment="1">
      <alignment horizontal="center" vertical="center"/>
    </xf>
    <xf numFmtId="0" fontId="2" fillId="2" borderId="0" xfId="1" applyFill="1"/>
    <xf numFmtId="0" fontId="3" fillId="2" borderId="0" xfId="1" applyFont="1" applyFill="1"/>
    <xf numFmtId="0" fontId="7" fillId="0" borderId="16" xfId="1" applyFont="1" applyBorder="1" applyAlignment="1">
      <alignment horizontal="center" vertical="center"/>
    </xf>
    <xf numFmtId="0" fontId="7" fillId="0" borderId="18" xfId="1" applyFont="1" applyBorder="1" applyAlignment="1">
      <alignment vertical="center" wrapText="1"/>
    </xf>
    <xf numFmtId="0" fontId="7" fillId="0" borderId="18" xfId="1" applyFont="1" applyBorder="1" applyAlignment="1">
      <alignment vertical="center"/>
    </xf>
    <xf numFmtId="14" fontId="7" fillId="0" borderId="18" xfId="1" applyNumberFormat="1" applyFont="1" applyBorder="1" applyAlignment="1">
      <alignment horizontal="center" vertical="center"/>
    </xf>
    <xf numFmtId="9" fontId="7" fillId="0" borderId="19" xfId="1" applyNumberFormat="1" applyFont="1" applyBorder="1" applyAlignment="1">
      <alignment horizontal="center" vertical="center"/>
    </xf>
    <xf numFmtId="0" fontId="7" fillId="0" borderId="20" xfId="1" applyFont="1" applyBorder="1" applyAlignment="1">
      <alignment horizontal="center" vertical="center"/>
    </xf>
    <xf numFmtId="49" fontId="7" fillId="0" borderId="12" xfId="1" applyNumberFormat="1" applyFont="1" applyBorder="1" applyAlignment="1">
      <alignment horizontal="center" vertical="center"/>
    </xf>
    <xf numFmtId="49" fontId="7" fillId="0" borderId="15" xfId="1" applyNumberFormat="1" applyFont="1" applyBorder="1" applyAlignment="1">
      <alignment horizontal="center" vertical="center"/>
    </xf>
    <xf numFmtId="49" fontId="7" fillId="0" borderId="18" xfId="1" applyNumberFormat="1" applyFont="1" applyBorder="1" applyAlignment="1">
      <alignment horizontal="center" vertical="center"/>
    </xf>
    <xf numFmtId="0" fontId="2" fillId="0" borderId="7" xfId="1" applyBorder="1"/>
    <xf numFmtId="0" fontId="12" fillId="0" borderId="21" xfId="1" applyFont="1" applyBorder="1" applyAlignment="1">
      <alignment horizontal="centerContinuous"/>
    </xf>
    <xf numFmtId="0" fontId="12" fillId="0" borderId="22" xfId="1" applyFont="1" applyBorder="1" applyAlignment="1">
      <alignment horizontal="centerContinuous"/>
    </xf>
    <xf numFmtId="0" fontId="12" fillId="0" borderId="23" xfId="1" applyFont="1" applyBorder="1" applyAlignment="1">
      <alignment horizontal="centerContinuous"/>
    </xf>
    <xf numFmtId="0" fontId="12" fillId="0" borderId="24" xfId="1" applyFont="1" applyBorder="1" applyAlignment="1">
      <alignment horizontal="center"/>
    </xf>
    <xf numFmtId="0" fontId="2" fillId="2" borderId="25" xfId="1" applyFill="1" applyBorder="1"/>
    <xf numFmtId="0" fontId="2" fillId="2" borderId="23" xfId="1" applyFill="1" applyBorder="1"/>
    <xf numFmtId="0" fontId="2" fillId="2" borderId="24" xfId="1" applyFill="1" applyBorder="1"/>
    <xf numFmtId="0" fontId="2" fillId="0" borderId="22" xfId="1" applyBorder="1"/>
    <xf numFmtId="0" fontId="2" fillId="0" borderId="23" xfId="1" applyBorder="1"/>
    <xf numFmtId="0" fontId="2" fillId="0" borderId="24" xfId="1" applyBorder="1"/>
    <xf numFmtId="0" fontId="7" fillId="0" borderId="0" xfId="1" applyFont="1" applyAlignment="1">
      <alignment vertical="center" wrapText="1"/>
    </xf>
    <xf numFmtId="0" fontId="7" fillId="0" borderId="0" xfId="1" applyFont="1" applyAlignment="1">
      <alignment horizontal="left" vertical="center" wrapText="1"/>
    </xf>
  </cellXfs>
  <cellStyles count="4">
    <cellStyle name="Comma 2" xfId="3" xr:uid="{A99D97B8-E6F0-D441-97B7-1502B9163D92}"/>
    <cellStyle name="Normal" xfId="0" builtinId="0"/>
    <cellStyle name="Normal 2" xfId="1" xr:uid="{BFCED151-BB8B-2D49-8D6D-D0B49834715E}"/>
    <cellStyle name="Normal 2 2" xfId="2" xr:uid="{01FA92D2-15F9-3C47-A561-3968E093AA7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GB"/>
              <a:t>D F2 (Change in BRENT Oil
(per gallon, 1 barrel = 42 gallons)) Line Fit 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 S (Change in JET FUEL Oil 
(per gallon))</c:v>
          </c:tx>
          <c:spPr>
            <a:ln w="38100">
              <a:noFill/>
            </a:ln>
          </c:spPr>
          <c:xVal>
            <c:numRef>
              <c:f>'Monthly Changes &amp; Correlations'!$O$9:$O$67</c:f>
              <c:numCache>
                <c:formatCode>General</c:formatCode>
                <c:ptCount val="59"/>
                <c:pt idx="0">
                  <c:v>2.8699999999999974</c:v>
                </c:pt>
                <c:pt idx="1">
                  <c:v>9.0799999999999983</c:v>
                </c:pt>
                <c:pt idx="2">
                  <c:v>1.2399999999999949</c:v>
                </c:pt>
                <c:pt idx="3">
                  <c:v>0.95000000000000284</c:v>
                </c:pt>
                <c:pt idx="4">
                  <c:v>4.039999999999992</c:v>
                </c:pt>
                <c:pt idx="5">
                  <c:v>4.7900000000000063</c:v>
                </c:pt>
                <c:pt idx="6">
                  <c:v>4.7199999999999989</c:v>
                </c:pt>
                <c:pt idx="7">
                  <c:v>8.6799999999999926</c:v>
                </c:pt>
                <c:pt idx="8">
                  <c:v>8.9000000000000057</c:v>
                </c:pt>
                <c:pt idx="9">
                  <c:v>1.1600000000000108</c:v>
                </c:pt>
                <c:pt idx="10">
                  <c:v>4.9700000000000131</c:v>
                </c:pt>
                <c:pt idx="11">
                  <c:v>2.1000000000000085</c:v>
                </c:pt>
                <c:pt idx="12">
                  <c:v>9.3200000000000074</c:v>
                </c:pt>
                <c:pt idx="13">
                  <c:v>1.4299999999999926</c:v>
                </c:pt>
                <c:pt idx="14">
                  <c:v>8.7900000000000063</c:v>
                </c:pt>
                <c:pt idx="15">
                  <c:v>16.72999999999999</c:v>
                </c:pt>
                <c:pt idx="16">
                  <c:v>10.550000000000011</c:v>
                </c:pt>
                <c:pt idx="17">
                  <c:v>14.300000000000011</c:v>
                </c:pt>
                <c:pt idx="18">
                  <c:v>10.61</c:v>
                </c:pt>
                <c:pt idx="19">
                  <c:v>19.97</c:v>
                </c:pt>
                <c:pt idx="20">
                  <c:v>33.519999999999996</c:v>
                </c:pt>
                <c:pt idx="21">
                  <c:v>12.280000000000001</c:v>
                </c:pt>
                <c:pt idx="22">
                  <c:v>11.899999999999999</c:v>
                </c:pt>
                <c:pt idx="23">
                  <c:v>8.3500000000000014</c:v>
                </c:pt>
                <c:pt idx="24">
                  <c:v>0.23999999999999488</c:v>
                </c:pt>
                <c:pt idx="25">
                  <c:v>1.720000000000006</c:v>
                </c:pt>
                <c:pt idx="26">
                  <c:v>4.1699999999999946</c:v>
                </c:pt>
                <c:pt idx="27">
                  <c:v>14.680000000000007</c:v>
                </c:pt>
                <c:pt idx="28">
                  <c:v>3.1299999999999955</c:v>
                </c:pt>
                <c:pt idx="29">
                  <c:v>1.9699999999999989</c:v>
                </c:pt>
                <c:pt idx="30">
                  <c:v>1.0600000000000023</c:v>
                </c:pt>
                <c:pt idx="31">
                  <c:v>3.2000000000000028</c:v>
                </c:pt>
                <c:pt idx="32">
                  <c:v>9.0900000000000034</c:v>
                </c:pt>
                <c:pt idx="33">
                  <c:v>2.8599999999999994</c:v>
                </c:pt>
                <c:pt idx="34">
                  <c:v>0.14000000000000057</c:v>
                </c:pt>
                <c:pt idx="35">
                  <c:v>6.7099999999999937</c:v>
                </c:pt>
                <c:pt idx="36">
                  <c:v>5.1599999999999966</c:v>
                </c:pt>
                <c:pt idx="37">
                  <c:v>4.0100000000000051</c:v>
                </c:pt>
                <c:pt idx="38">
                  <c:v>5.8199999999999932</c:v>
                </c:pt>
                <c:pt idx="39">
                  <c:v>13.189999999999998</c:v>
                </c:pt>
                <c:pt idx="40">
                  <c:v>1.9399999999999977</c:v>
                </c:pt>
                <c:pt idx="41">
                  <c:v>2.5600000000000023</c:v>
                </c:pt>
                <c:pt idx="42">
                  <c:v>1.9899999999999949</c:v>
                </c:pt>
                <c:pt idx="43">
                  <c:v>5.2599999999999909</c:v>
                </c:pt>
                <c:pt idx="44">
                  <c:v>1.7000000000000028</c:v>
                </c:pt>
                <c:pt idx="45">
                  <c:v>3.5499999999999972</c:v>
                </c:pt>
                <c:pt idx="46">
                  <c:v>7.210000000000008</c:v>
                </c:pt>
                <c:pt idx="47">
                  <c:v>5.7399999999999949</c:v>
                </c:pt>
                <c:pt idx="48">
                  <c:v>13.299999999999997</c:v>
                </c:pt>
                <c:pt idx="49">
                  <c:v>4.6700000000000017</c:v>
                </c:pt>
                <c:pt idx="50">
                  <c:v>9.6500000000000057</c:v>
                </c:pt>
                <c:pt idx="51">
                  <c:v>9.4099999999999966</c:v>
                </c:pt>
                <c:pt idx="52">
                  <c:v>5.4700000000000131</c:v>
                </c:pt>
                <c:pt idx="53">
                  <c:v>4.2200000000000131</c:v>
                </c:pt>
                <c:pt idx="54">
                  <c:v>0.54999999999999716</c:v>
                </c:pt>
                <c:pt idx="55">
                  <c:v>11.060000000000002</c:v>
                </c:pt>
                <c:pt idx="56">
                  <c:v>3.0100000000000051</c:v>
                </c:pt>
                <c:pt idx="57">
                  <c:v>2.789999999999992</c:v>
                </c:pt>
                <c:pt idx="58">
                  <c:v>3.1299999999999955</c:v>
                </c:pt>
              </c:numCache>
            </c:numRef>
          </c:xVal>
          <c:yVal>
            <c:numRef>
              <c:f>'Monthly Changes &amp; Correlations'!$M$9:$M$67</c:f>
              <c:numCache>
                <c:formatCode>General</c:formatCode>
                <c:ptCount val="59"/>
                <c:pt idx="0">
                  <c:v>9.4000000000000083E-2</c:v>
                </c:pt>
                <c:pt idx="1">
                  <c:v>0.16399999999999992</c:v>
                </c:pt>
                <c:pt idx="2">
                  <c:v>3.2000000000000028E-2</c:v>
                </c:pt>
                <c:pt idx="3">
                  <c:v>4.9999999999998934E-3</c:v>
                </c:pt>
                <c:pt idx="4">
                  <c:v>4.5999999999999819E-2</c:v>
                </c:pt>
                <c:pt idx="5">
                  <c:v>0.1080000000000001</c:v>
                </c:pt>
                <c:pt idx="6">
                  <c:v>6.3000000000000167E-2</c:v>
                </c:pt>
                <c:pt idx="7">
                  <c:v>0.15300000000000002</c:v>
                </c:pt>
                <c:pt idx="8">
                  <c:v>0.30400000000000027</c:v>
                </c:pt>
                <c:pt idx="9">
                  <c:v>2.4000000000000021E-2</c:v>
                </c:pt>
                <c:pt idx="10">
                  <c:v>0.10499999999999998</c:v>
                </c:pt>
                <c:pt idx="11">
                  <c:v>0.10099999999999998</c:v>
                </c:pt>
                <c:pt idx="12">
                  <c:v>0.34299999999999997</c:v>
                </c:pt>
                <c:pt idx="13">
                  <c:v>0.14599999999999991</c:v>
                </c:pt>
                <c:pt idx="14">
                  <c:v>0.26800000000000024</c:v>
                </c:pt>
                <c:pt idx="15">
                  <c:v>0.40700000000000003</c:v>
                </c:pt>
                <c:pt idx="16">
                  <c:v>0.28399999999999936</c:v>
                </c:pt>
                <c:pt idx="17">
                  <c:v>0.46599999999999975</c:v>
                </c:pt>
                <c:pt idx="18">
                  <c:v>0.25800000000000001</c:v>
                </c:pt>
                <c:pt idx="19">
                  <c:v>0.27400000000000002</c:v>
                </c:pt>
                <c:pt idx="20">
                  <c:v>0.92799999999999994</c:v>
                </c:pt>
                <c:pt idx="21">
                  <c:v>0.33399999999999985</c:v>
                </c:pt>
                <c:pt idx="22">
                  <c:v>0.43999999999999995</c:v>
                </c:pt>
                <c:pt idx="23">
                  <c:v>9.5999999999999863E-2</c:v>
                </c:pt>
                <c:pt idx="24">
                  <c:v>0.15100000000000002</c:v>
                </c:pt>
                <c:pt idx="25">
                  <c:v>7.6000000000000068E-2</c:v>
                </c:pt>
                <c:pt idx="26">
                  <c:v>4.6999999999999931E-2</c:v>
                </c:pt>
                <c:pt idx="27">
                  <c:v>0.37799999999999989</c:v>
                </c:pt>
                <c:pt idx="28">
                  <c:v>0.1160000000000001</c:v>
                </c:pt>
                <c:pt idx="29">
                  <c:v>4.2999999999999927E-2</c:v>
                </c:pt>
                <c:pt idx="30">
                  <c:v>5.0000000000000044E-2</c:v>
                </c:pt>
                <c:pt idx="31">
                  <c:v>1.3000000000000123E-2</c:v>
                </c:pt>
                <c:pt idx="32">
                  <c:v>0.18199999999999994</c:v>
                </c:pt>
                <c:pt idx="33">
                  <c:v>2.8000000000000025E-2</c:v>
                </c:pt>
                <c:pt idx="34">
                  <c:v>8.4000000000000075E-2</c:v>
                </c:pt>
                <c:pt idx="35">
                  <c:v>0.17800000000000016</c:v>
                </c:pt>
                <c:pt idx="36">
                  <c:v>0.14500000000000024</c:v>
                </c:pt>
                <c:pt idx="37">
                  <c:v>0.13300000000000001</c:v>
                </c:pt>
                <c:pt idx="38">
                  <c:v>0.13599999999999968</c:v>
                </c:pt>
                <c:pt idx="39">
                  <c:v>0.2849999999999997</c:v>
                </c:pt>
                <c:pt idx="40">
                  <c:v>4.6000000000000041E-2</c:v>
                </c:pt>
                <c:pt idx="41">
                  <c:v>9.9999999999999867E-2</c:v>
                </c:pt>
                <c:pt idx="42">
                  <c:v>8.3000000000000185E-2</c:v>
                </c:pt>
                <c:pt idx="43">
                  <c:v>0.22900000000000009</c:v>
                </c:pt>
                <c:pt idx="44">
                  <c:v>1.4000000000000234E-2</c:v>
                </c:pt>
                <c:pt idx="45">
                  <c:v>3.7999999999999812E-2</c:v>
                </c:pt>
                <c:pt idx="46">
                  <c:v>0.2370000000000001</c:v>
                </c:pt>
                <c:pt idx="47">
                  <c:v>0.21399999999999997</c:v>
                </c:pt>
                <c:pt idx="48">
                  <c:v>0.25600000000000023</c:v>
                </c:pt>
                <c:pt idx="49">
                  <c:v>0.16299999999999981</c:v>
                </c:pt>
                <c:pt idx="50">
                  <c:v>0.20699999999999985</c:v>
                </c:pt>
                <c:pt idx="51">
                  <c:v>0.23399999999999999</c:v>
                </c:pt>
                <c:pt idx="52">
                  <c:v>0.1379999999999999</c:v>
                </c:pt>
                <c:pt idx="53">
                  <c:v>0.16500000000000004</c:v>
                </c:pt>
                <c:pt idx="54">
                  <c:v>4.8000000000000043E-2</c:v>
                </c:pt>
                <c:pt idx="55">
                  <c:v>0.26900000000000013</c:v>
                </c:pt>
                <c:pt idx="56">
                  <c:v>0.18400000000000016</c:v>
                </c:pt>
                <c:pt idx="57">
                  <c:v>2.7000000000000135E-2</c:v>
                </c:pt>
                <c:pt idx="58">
                  <c:v>8.4000000000000075E-2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482D-6C4D-ABA9-2D52145A74F5}"/>
            </c:ext>
          </c:extLst>
        </c:ser>
        <c:ser>
          <c:idx val="1"/>
          <c:order val="1"/>
          <c:tx>
            <c:v>Predicted D S (Change in JET FUEL Oil 
(per gallon))</c:v>
          </c:tx>
          <c:spPr>
            <a:ln w="38100">
              <a:noFill/>
            </a:ln>
          </c:spPr>
          <c:xVal>
            <c:numRef>
              <c:f>'Monthly Changes &amp; Correlations'!$O$9:$O$67</c:f>
              <c:numCache>
                <c:formatCode>General</c:formatCode>
                <c:ptCount val="59"/>
                <c:pt idx="0">
                  <c:v>2.8699999999999974</c:v>
                </c:pt>
                <c:pt idx="1">
                  <c:v>9.0799999999999983</c:v>
                </c:pt>
                <c:pt idx="2">
                  <c:v>1.2399999999999949</c:v>
                </c:pt>
                <c:pt idx="3">
                  <c:v>0.95000000000000284</c:v>
                </c:pt>
                <c:pt idx="4">
                  <c:v>4.039999999999992</c:v>
                </c:pt>
                <c:pt idx="5">
                  <c:v>4.7900000000000063</c:v>
                </c:pt>
                <c:pt idx="6">
                  <c:v>4.7199999999999989</c:v>
                </c:pt>
                <c:pt idx="7">
                  <c:v>8.6799999999999926</c:v>
                </c:pt>
                <c:pt idx="8">
                  <c:v>8.9000000000000057</c:v>
                </c:pt>
                <c:pt idx="9">
                  <c:v>1.1600000000000108</c:v>
                </c:pt>
                <c:pt idx="10">
                  <c:v>4.9700000000000131</c:v>
                </c:pt>
                <c:pt idx="11">
                  <c:v>2.1000000000000085</c:v>
                </c:pt>
                <c:pt idx="12">
                  <c:v>9.3200000000000074</c:v>
                </c:pt>
                <c:pt idx="13">
                  <c:v>1.4299999999999926</c:v>
                </c:pt>
                <c:pt idx="14">
                  <c:v>8.7900000000000063</c:v>
                </c:pt>
                <c:pt idx="15">
                  <c:v>16.72999999999999</c:v>
                </c:pt>
                <c:pt idx="16">
                  <c:v>10.550000000000011</c:v>
                </c:pt>
                <c:pt idx="17">
                  <c:v>14.300000000000011</c:v>
                </c:pt>
                <c:pt idx="18">
                  <c:v>10.61</c:v>
                </c:pt>
                <c:pt idx="19">
                  <c:v>19.97</c:v>
                </c:pt>
                <c:pt idx="20">
                  <c:v>33.519999999999996</c:v>
                </c:pt>
                <c:pt idx="21">
                  <c:v>12.280000000000001</c:v>
                </c:pt>
                <c:pt idx="22">
                  <c:v>11.899999999999999</c:v>
                </c:pt>
                <c:pt idx="23">
                  <c:v>8.3500000000000014</c:v>
                </c:pt>
                <c:pt idx="24">
                  <c:v>0.23999999999999488</c:v>
                </c:pt>
                <c:pt idx="25">
                  <c:v>1.720000000000006</c:v>
                </c:pt>
                <c:pt idx="26">
                  <c:v>4.1699999999999946</c:v>
                </c:pt>
                <c:pt idx="27">
                  <c:v>14.680000000000007</c:v>
                </c:pt>
                <c:pt idx="28">
                  <c:v>3.1299999999999955</c:v>
                </c:pt>
                <c:pt idx="29">
                  <c:v>1.9699999999999989</c:v>
                </c:pt>
                <c:pt idx="30">
                  <c:v>1.0600000000000023</c:v>
                </c:pt>
                <c:pt idx="31">
                  <c:v>3.2000000000000028</c:v>
                </c:pt>
                <c:pt idx="32">
                  <c:v>9.0900000000000034</c:v>
                </c:pt>
                <c:pt idx="33">
                  <c:v>2.8599999999999994</c:v>
                </c:pt>
                <c:pt idx="34">
                  <c:v>0.14000000000000057</c:v>
                </c:pt>
                <c:pt idx="35">
                  <c:v>6.7099999999999937</c:v>
                </c:pt>
                <c:pt idx="36">
                  <c:v>5.1599999999999966</c:v>
                </c:pt>
                <c:pt idx="37">
                  <c:v>4.0100000000000051</c:v>
                </c:pt>
                <c:pt idx="38">
                  <c:v>5.8199999999999932</c:v>
                </c:pt>
                <c:pt idx="39">
                  <c:v>13.189999999999998</c:v>
                </c:pt>
                <c:pt idx="40">
                  <c:v>1.9399999999999977</c:v>
                </c:pt>
                <c:pt idx="41">
                  <c:v>2.5600000000000023</c:v>
                </c:pt>
                <c:pt idx="42">
                  <c:v>1.9899999999999949</c:v>
                </c:pt>
                <c:pt idx="43">
                  <c:v>5.2599999999999909</c:v>
                </c:pt>
                <c:pt idx="44">
                  <c:v>1.7000000000000028</c:v>
                </c:pt>
                <c:pt idx="45">
                  <c:v>3.5499999999999972</c:v>
                </c:pt>
                <c:pt idx="46">
                  <c:v>7.210000000000008</c:v>
                </c:pt>
                <c:pt idx="47">
                  <c:v>5.7399999999999949</c:v>
                </c:pt>
                <c:pt idx="48">
                  <c:v>13.299999999999997</c:v>
                </c:pt>
                <c:pt idx="49">
                  <c:v>4.6700000000000017</c:v>
                </c:pt>
                <c:pt idx="50">
                  <c:v>9.6500000000000057</c:v>
                </c:pt>
                <c:pt idx="51">
                  <c:v>9.4099999999999966</c:v>
                </c:pt>
                <c:pt idx="52">
                  <c:v>5.4700000000000131</c:v>
                </c:pt>
                <c:pt idx="53">
                  <c:v>4.2200000000000131</c:v>
                </c:pt>
                <c:pt idx="54">
                  <c:v>0.54999999999999716</c:v>
                </c:pt>
                <c:pt idx="55">
                  <c:v>11.060000000000002</c:v>
                </c:pt>
                <c:pt idx="56">
                  <c:v>3.0100000000000051</c:v>
                </c:pt>
                <c:pt idx="57">
                  <c:v>2.789999999999992</c:v>
                </c:pt>
                <c:pt idx="58">
                  <c:v>3.1299999999999955</c:v>
                </c:pt>
              </c:numCache>
            </c:numRef>
          </c:xVal>
          <c:yVal>
            <c:numRef>
              <c:f>'Regression - Brent'!$B$25:$B$83</c:f>
              <c:numCache>
                <c:formatCode>General</c:formatCode>
                <c:ptCount val="59"/>
                <c:pt idx="0">
                  <c:v>8.6214225430810448E-2</c:v>
                </c:pt>
                <c:pt idx="1">
                  <c:v>0.23372213159136793</c:v>
                </c:pt>
                <c:pt idx="2">
                  <c:v>4.7496369224416073E-2</c:v>
                </c:pt>
                <c:pt idx="3">
                  <c:v>4.0607916279720345E-2</c:v>
                </c:pt>
                <c:pt idx="4">
                  <c:v>0.11400557006975592</c:v>
                </c:pt>
                <c:pt idx="5">
                  <c:v>0.13182053458190088</c:v>
                </c:pt>
                <c:pt idx="6">
                  <c:v>0.1301578045607672</c:v>
                </c:pt>
                <c:pt idx="7">
                  <c:v>0.22422081718489065</c:v>
                </c:pt>
                <c:pt idx="8">
                  <c:v>0.22944654010845339</c:v>
                </c:pt>
                <c:pt idx="9">
                  <c:v>4.5596106343121029E-2</c:v>
                </c:pt>
                <c:pt idx="10">
                  <c:v>0.13609612606481575</c:v>
                </c:pt>
                <c:pt idx="11">
                  <c:v>6.7924195198342224E-2</c:v>
                </c:pt>
                <c:pt idx="12">
                  <c:v>0.23942292023525441</c:v>
                </c:pt>
                <c:pt idx="13">
                  <c:v>5.2009493567492661E-2</c:v>
                </c:pt>
                <c:pt idx="14">
                  <c:v>0.2268336786466722</c:v>
                </c:pt>
                <c:pt idx="15">
                  <c:v>0.41543476961524284</c:v>
                </c:pt>
                <c:pt idx="16">
                  <c:v>0.26863946203517169</c:v>
                </c:pt>
                <c:pt idx="17">
                  <c:v>0.35771428459589477</c:v>
                </c:pt>
                <c:pt idx="18">
                  <c:v>0.27006465919614298</c:v>
                </c:pt>
                <c:pt idx="19">
                  <c:v>0.49239541630770783</c:v>
                </c:pt>
                <c:pt idx="20">
                  <c:v>0.81425244182712053</c:v>
                </c:pt>
                <c:pt idx="21">
                  <c:v>0.30973264684318502</c:v>
                </c:pt>
                <c:pt idx="22">
                  <c:v>0.30070639815703171</c:v>
                </c:pt>
                <c:pt idx="23">
                  <c:v>0.21638223279954724</c:v>
                </c:pt>
                <c:pt idx="24">
                  <c:v>2.3743083208223249E-2</c:v>
                </c:pt>
                <c:pt idx="25">
                  <c:v>5.8897946512188895E-2</c:v>
                </c:pt>
                <c:pt idx="26">
                  <c:v>0.11709349725186105</c:v>
                </c:pt>
                <c:pt idx="27">
                  <c:v>0.36674053328204798</c:v>
                </c:pt>
                <c:pt idx="28">
                  <c:v>9.2390079795020535E-2</c:v>
                </c:pt>
                <c:pt idx="29">
                  <c:v>6.4836268016236931E-2</c:v>
                </c:pt>
                <c:pt idx="30">
                  <c:v>4.3220777741501543E-2</c:v>
                </c:pt>
                <c:pt idx="31">
                  <c:v>9.4052809816154201E-2</c:v>
                </c:pt>
                <c:pt idx="32">
                  <c:v>0.23395966445152996</c:v>
                </c:pt>
                <c:pt idx="33">
                  <c:v>8.5976692570648564E-2</c:v>
                </c:pt>
                <c:pt idx="34">
                  <c:v>2.13677546066041E-2</c:v>
                </c:pt>
                <c:pt idx="35">
                  <c:v>0.17742684373299081</c:v>
                </c:pt>
                <c:pt idx="36">
                  <c:v>0.14060925040789199</c:v>
                </c:pt>
                <c:pt idx="37">
                  <c:v>0.11329297148927045</c:v>
                </c:pt>
                <c:pt idx="38">
                  <c:v>0.15628641917857919</c:v>
                </c:pt>
                <c:pt idx="39">
                  <c:v>0.33134813711792044</c:v>
                </c:pt>
                <c:pt idx="40">
                  <c:v>6.4123669435751124E-2</c:v>
                </c:pt>
                <c:pt idx="41">
                  <c:v>7.8850706765790785E-2</c:v>
                </c:pt>
                <c:pt idx="42">
                  <c:v>6.5311333736560701E-2</c:v>
                </c:pt>
                <c:pt idx="43">
                  <c:v>0.14298457900951114</c:v>
                </c:pt>
                <c:pt idx="44">
                  <c:v>5.8422880791864966E-2</c:v>
                </c:pt>
                <c:pt idx="45">
                  <c:v>0.10236645992182156</c:v>
                </c:pt>
                <c:pt idx="46">
                  <c:v>0.18930348674108757</c:v>
                </c:pt>
                <c:pt idx="47">
                  <c:v>0.15438615629728381</c:v>
                </c:pt>
                <c:pt idx="48">
                  <c:v>0.33396099857970163</c:v>
                </c:pt>
                <c:pt idx="49">
                  <c:v>0.12897014025995762</c:v>
                </c:pt>
                <c:pt idx="50">
                  <c:v>0.24726150462059801</c:v>
                </c:pt>
                <c:pt idx="51">
                  <c:v>0.2415607159767115</c:v>
                </c:pt>
                <c:pt idx="52">
                  <c:v>0.14797276907291215</c:v>
                </c:pt>
                <c:pt idx="53">
                  <c:v>0.11828116155267113</c:v>
                </c:pt>
                <c:pt idx="54">
                  <c:v>3.110660187324308E-2</c:v>
                </c:pt>
                <c:pt idx="55">
                  <c:v>0.28075363790342983</c:v>
                </c:pt>
                <c:pt idx="56">
                  <c:v>8.9539685473077626E-2</c:v>
                </c:pt>
                <c:pt idx="57">
                  <c:v>8.4313962549514884E-2</c:v>
                </c:pt>
                <c:pt idx="58">
                  <c:v>9.2390079795020535E-2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482D-6C4D-ABA9-2D52145A74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61780415"/>
        <c:axId val="1704523775"/>
      </c:scatterChart>
      <c:valAx>
        <c:axId val="166178041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D F2 (Change in BRENT Oil
(per gallon, 1 barrel = 42 gallons))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704523775"/>
        <c:crosses val="autoZero"/>
        <c:crossBetween val="midCat"/>
      </c:valAx>
      <c:valAx>
        <c:axId val="1704523775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D S (Change in JET FUEL Oil 
(per gallon))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661780415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GB"/>
              <a:t>X Variable 1 Line Fit 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Y</c:v>
          </c:tx>
          <c:spPr>
            <a:ln w="38100">
              <a:noFill/>
            </a:ln>
          </c:spPr>
          <c:xVal>
            <c:numRef>
              <c:f>'Monthly Changes &amp; Correlations'!$T$9:$T$67</c:f>
              <c:numCache>
                <c:formatCode>General</c:formatCode>
                <c:ptCount val="59"/>
                <c:pt idx="0">
                  <c:v>2.8699999999999974</c:v>
                </c:pt>
                <c:pt idx="1">
                  <c:v>9.0799999999999983</c:v>
                </c:pt>
                <c:pt idx="2">
                  <c:v>-1.2399999999999949</c:v>
                </c:pt>
                <c:pt idx="3">
                  <c:v>0.95000000000000284</c:v>
                </c:pt>
                <c:pt idx="4">
                  <c:v>4.039999999999992</c:v>
                </c:pt>
                <c:pt idx="5">
                  <c:v>4.7900000000000063</c:v>
                </c:pt>
                <c:pt idx="6">
                  <c:v>-4.7199999999999989</c:v>
                </c:pt>
                <c:pt idx="7">
                  <c:v>8.6799999999999926</c:v>
                </c:pt>
                <c:pt idx="8">
                  <c:v>8.9000000000000057</c:v>
                </c:pt>
                <c:pt idx="9">
                  <c:v>-1.1600000000000108</c:v>
                </c:pt>
                <c:pt idx="10">
                  <c:v>4.9700000000000131</c:v>
                </c:pt>
                <c:pt idx="11">
                  <c:v>-2.1000000000000085</c:v>
                </c:pt>
                <c:pt idx="12">
                  <c:v>9.3200000000000074</c:v>
                </c:pt>
                <c:pt idx="13">
                  <c:v>1.4299999999999926</c:v>
                </c:pt>
                <c:pt idx="14">
                  <c:v>8.7900000000000063</c:v>
                </c:pt>
                <c:pt idx="15">
                  <c:v>16.72999999999999</c:v>
                </c:pt>
                <c:pt idx="16">
                  <c:v>10.550000000000011</c:v>
                </c:pt>
                <c:pt idx="17">
                  <c:v>-14.300000000000011</c:v>
                </c:pt>
                <c:pt idx="18">
                  <c:v>-10.61</c:v>
                </c:pt>
                <c:pt idx="19">
                  <c:v>-19.97</c:v>
                </c:pt>
                <c:pt idx="20">
                  <c:v>-33.519999999999996</c:v>
                </c:pt>
                <c:pt idx="21">
                  <c:v>-12.280000000000001</c:v>
                </c:pt>
                <c:pt idx="22">
                  <c:v>-11.899999999999999</c:v>
                </c:pt>
                <c:pt idx="23">
                  <c:v>8.3500000000000014</c:v>
                </c:pt>
                <c:pt idx="24">
                  <c:v>0.23999999999999488</c:v>
                </c:pt>
                <c:pt idx="25">
                  <c:v>1.720000000000006</c:v>
                </c:pt>
                <c:pt idx="26">
                  <c:v>4.1699999999999946</c:v>
                </c:pt>
                <c:pt idx="27">
                  <c:v>14.680000000000007</c:v>
                </c:pt>
                <c:pt idx="28">
                  <c:v>3.1299999999999955</c:v>
                </c:pt>
                <c:pt idx="29">
                  <c:v>1.9699999999999989</c:v>
                </c:pt>
                <c:pt idx="30">
                  <c:v>-1.0600000000000023</c:v>
                </c:pt>
                <c:pt idx="31">
                  <c:v>-3.2000000000000028</c:v>
                </c:pt>
                <c:pt idx="32">
                  <c:v>9.0900000000000034</c:v>
                </c:pt>
                <c:pt idx="33">
                  <c:v>2.8599999999999994</c:v>
                </c:pt>
                <c:pt idx="34">
                  <c:v>0.14000000000000057</c:v>
                </c:pt>
                <c:pt idx="35">
                  <c:v>-6.7099999999999937</c:v>
                </c:pt>
                <c:pt idx="36">
                  <c:v>5.1599999999999966</c:v>
                </c:pt>
                <c:pt idx="37">
                  <c:v>4.0100000000000051</c:v>
                </c:pt>
                <c:pt idx="38">
                  <c:v>5.8199999999999932</c:v>
                </c:pt>
                <c:pt idx="39">
                  <c:v>-13.189999999999998</c:v>
                </c:pt>
                <c:pt idx="40">
                  <c:v>1.9399999999999977</c:v>
                </c:pt>
                <c:pt idx="41">
                  <c:v>2.5600000000000023</c:v>
                </c:pt>
                <c:pt idx="42">
                  <c:v>-1.9899999999999949</c:v>
                </c:pt>
                <c:pt idx="43">
                  <c:v>5.2599999999999909</c:v>
                </c:pt>
                <c:pt idx="44">
                  <c:v>1.7000000000000028</c:v>
                </c:pt>
                <c:pt idx="45">
                  <c:v>3.5499999999999972</c:v>
                </c:pt>
                <c:pt idx="46">
                  <c:v>7.210000000000008</c:v>
                </c:pt>
                <c:pt idx="47">
                  <c:v>5.7399999999999949</c:v>
                </c:pt>
                <c:pt idx="48">
                  <c:v>13.299999999999997</c:v>
                </c:pt>
                <c:pt idx="49">
                  <c:v>4.6700000000000017</c:v>
                </c:pt>
                <c:pt idx="50">
                  <c:v>9.6500000000000057</c:v>
                </c:pt>
                <c:pt idx="51">
                  <c:v>-9.4099999999999966</c:v>
                </c:pt>
                <c:pt idx="52">
                  <c:v>-5.4700000000000131</c:v>
                </c:pt>
                <c:pt idx="53">
                  <c:v>4.2200000000000131</c:v>
                </c:pt>
                <c:pt idx="54">
                  <c:v>0.54999999999999716</c:v>
                </c:pt>
                <c:pt idx="55">
                  <c:v>-11.060000000000002</c:v>
                </c:pt>
                <c:pt idx="56">
                  <c:v>3.0100000000000051</c:v>
                </c:pt>
                <c:pt idx="57">
                  <c:v>2.789999999999992</c:v>
                </c:pt>
                <c:pt idx="58">
                  <c:v>-3.1299999999999955</c:v>
                </c:pt>
              </c:numCache>
            </c:numRef>
          </c:xVal>
          <c:yVal>
            <c:numRef>
              <c:f>'Monthly Changes &amp; Correlations'!$R$9:$R$67</c:f>
              <c:numCache>
                <c:formatCode>General</c:formatCode>
                <c:ptCount val="59"/>
                <c:pt idx="0">
                  <c:v>9.4000000000000083E-2</c:v>
                </c:pt>
                <c:pt idx="1">
                  <c:v>0.16399999999999992</c:v>
                </c:pt>
                <c:pt idx="2">
                  <c:v>3.2000000000000028E-2</c:v>
                </c:pt>
                <c:pt idx="3">
                  <c:v>-4.9999999999998934E-3</c:v>
                </c:pt>
                <c:pt idx="4">
                  <c:v>4.5999999999999819E-2</c:v>
                </c:pt>
                <c:pt idx="5">
                  <c:v>0.1080000000000001</c:v>
                </c:pt>
                <c:pt idx="6">
                  <c:v>-6.3000000000000167E-2</c:v>
                </c:pt>
                <c:pt idx="7">
                  <c:v>0.15300000000000002</c:v>
                </c:pt>
                <c:pt idx="8">
                  <c:v>0.30400000000000027</c:v>
                </c:pt>
                <c:pt idx="9">
                  <c:v>-2.4000000000000021E-2</c:v>
                </c:pt>
                <c:pt idx="10">
                  <c:v>0.10499999999999998</c:v>
                </c:pt>
                <c:pt idx="11">
                  <c:v>-0.10099999999999998</c:v>
                </c:pt>
                <c:pt idx="12">
                  <c:v>0.34299999999999997</c:v>
                </c:pt>
                <c:pt idx="13">
                  <c:v>0.14599999999999991</c:v>
                </c:pt>
                <c:pt idx="14">
                  <c:v>0.26800000000000024</c:v>
                </c:pt>
                <c:pt idx="15">
                  <c:v>0.40700000000000003</c:v>
                </c:pt>
                <c:pt idx="16">
                  <c:v>0.28399999999999936</c:v>
                </c:pt>
                <c:pt idx="17">
                  <c:v>-0.46599999999999975</c:v>
                </c:pt>
                <c:pt idx="18">
                  <c:v>-0.25800000000000001</c:v>
                </c:pt>
                <c:pt idx="19">
                  <c:v>-0.27400000000000002</c:v>
                </c:pt>
                <c:pt idx="20">
                  <c:v>-0.92799999999999994</c:v>
                </c:pt>
                <c:pt idx="21">
                  <c:v>-0.33399999999999985</c:v>
                </c:pt>
                <c:pt idx="22">
                  <c:v>-0.43999999999999995</c:v>
                </c:pt>
                <c:pt idx="23">
                  <c:v>9.5999999999999863E-2</c:v>
                </c:pt>
                <c:pt idx="24">
                  <c:v>-0.15100000000000002</c:v>
                </c:pt>
                <c:pt idx="25">
                  <c:v>7.6000000000000068E-2</c:v>
                </c:pt>
                <c:pt idx="26">
                  <c:v>-4.6999999999999931E-2</c:v>
                </c:pt>
                <c:pt idx="27">
                  <c:v>0.37799999999999989</c:v>
                </c:pt>
                <c:pt idx="28">
                  <c:v>0.1160000000000001</c:v>
                </c:pt>
                <c:pt idx="29">
                  <c:v>4.2999999999999927E-2</c:v>
                </c:pt>
                <c:pt idx="30">
                  <c:v>-5.0000000000000044E-2</c:v>
                </c:pt>
                <c:pt idx="31">
                  <c:v>1.3000000000000123E-2</c:v>
                </c:pt>
                <c:pt idx="32">
                  <c:v>0.18199999999999994</c:v>
                </c:pt>
                <c:pt idx="33">
                  <c:v>2.8000000000000025E-2</c:v>
                </c:pt>
                <c:pt idx="34">
                  <c:v>8.4000000000000075E-2</c:v>
                </c:pt>
                <c:pt idx="35">
                  <c:v>-0.17800000000000016</c:v>
                </c:pt>
                <c:pt idx="36">
                  <c:v>0.14500000000000024</c:v>
                </c:pt>
                <c:pt idx="37">
                  <c:v>0.13300000000000001</c:v>
                </c:pt>
                <c:pt idx="38">
                  <c:v>0.13599999999999968</c:v>
                </c:pt>
                <c:pt idx="39">
                  <c:v>-0.2849999999999997</c:v>
                </c:pt>
                <c:pt idx="40">
                  <c:v>-4.6000000000000041E-2</c:v>
                </c:pt>
                <c:pt idx="41">
                  <c:v>9.9999999999999867E-2</c:v>
                </c:pt>
                <c:pt idx="42">
                  <c:v>-8.3000000000000185E-2</c:v>
                </c:pt>
                <c:pt idx="43">
                  <c:v>0.22900000000000009</c:v>
                </c:pt>
                <c:pt idx="44">
                  <c:v>1.4000000000000234E-2</c:v>
                </c:pt>
                <c:pt idx="45">
                  <c:v>3.7999999999999812E-2</c:v>
                </c:pt>
                <c:pt idx="46">
                  <c:v>0.2370000000000001</c:v>
                </c:pt>
                <c:pt idx="47">
                  <c:v>0.21399999999999997</c:v>
                </c:pt>
                <c:pt idx="48">
                  <c:v>0.25600000000000023</c:v>
                </c:pt>
                <c:pt idx="49">
                  <c:v>0.16299999999999981</c:v>
                </c:pt>
                <c:pt idx="50">
                  <c:v>0.20699999999999985</c:v>
                </c:pt>
                <c:pt idx="51">
                  <c:v>-0.23399999999999999</c:v>
                </c:pt>
                <c:pt idx="52">
                  <c:v>-0.1379999999999999</c:v>
                </c:pt>
                <c:pt idx="53">
                  <c:v>0.16500000000000004</c:v>
                </c:pt>
                <c:pt idx="54">
                  <c:v>-4.8000000000000043E-2</c:v>
                </c:pt>
                <c:pt idx="55">
                  <c:v>-0.26900000000000013</c:v>
                </c:pt>
                <c:pt idx="56">
                  <c:v>0.18400000000000016</c:v>
                </c:pt>
                <c:pt idx="57">
                  <c:v>-2.7000000000000135E-2</c:v>
                </c:pt>
                <c:pt idx="58">
                  <c:v>-8.4000000000000075E-2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FE01-4945-9771-50CDAA2CFE69}"/>
            </c:ext>
          </c:extLst>
        </c:ser>
        <c:ser>
          <c:idx val="1"/>
          <c:order val="1"/>
          <c:tx>
            <c:v>Predicted Y</c:v>
          </c:tx>
          <c:spPr>
            <a:ln w="38100">
              <a:noFill/>
            </a:ln>
          </c:spPr>
          <c:xVal>
            <c:numRef>
              <c:f>'Monthly Changes &amp; Correlations'!$T$9:$T$67</c:f>
              <c:numCache>
                <c:formatCode>General</c:formatCode>
                <c:ptCount val="59"/>
                <c:pt idx="0">
                  <c:v>2.8699999999999974</c:v>
                </c:pt>
                <c:pt idx="1">
                  <c:v>9.0799999999999983</c:v>
                </c:pt>
                <c:pt idx="2">
                  <c:v>-1.2399999999999949</c:v>
                </c:pt>
                <c:pt idx="3">
                  <c:v>0.95000000000000284</c:v>
                </c:pt>
                <c:pt idx="4">
                  <c:v>4.039999999999992</c:v>
                </c:pt>
                <c:pt idx="5">
                  <c:v>4.7900000000000063</c:v>
                </c:pt>
                <c:pt idx="6">
                  <c:v>-4.7199999999999989</c:v>
                </c:pt>
                <c:pt idx="7">
                  <c:v>8.6799999999999926</c:v>
                </c:pt>
                <c:pt idx="8">
                  <c:v>8.9000000000000057</c:v>
                </c:pt>
                <c:pt idx="9">
                  <c:v>-1.1600000000000108</c:v>
                </c:pt>
                <c:pt idx="10">
                  <c:v>4.9700000000000131</c:v>
                </c:pt>
                <c:pt idx="11">
                  <c:v>-2.1000000000000085</c:v>
                </c:pt>
                <c:pt idx="12">
                  <c:v>9.3200000000000074</c:v>
                </c:pt>
                <c:pt idx="13">
                  <c:v>1.4299999999999926</c:v>
                </c:pt>
                <c:pt idx="14">
                  <c:v>8.7900000000000063</c:v>
                </c:pt>
                <c:pt idx="15">
                  <c:v>16.72999999999999</c:v>
                </c:pt>
                <c:pt idx="16">
                  <c:v>10.550000000000011</c:v>
                </c:pt>
                <c:pt idx="17">
                  <c:v>-14.300000000000011</c:v>
                </c:pt>
                <c:pt idx="18">
                  <c:v>-10.61</c:v>
                </c:pt>
                <c:pt idx="19">
                  <c:v>-19.97</c:v>
                </c:pt>
                <c:pt idx="20">
                  <c:v>-33.519999999999996</c:v>
                </c:pt>
                <c:pt idx="21">
                  <c:v>-12.280000000000001</c:v>
                </c:pt>
                <c:pt idx="22">
                  <c:v>-11.899999999999999</c:v>
                </c:pt>
                <c:pt idx="23">
                  <c:v>8.3500000000000014</c:v>
                </c:pt>
                <c:pt idx="24">
                  <c:v>0.23999999999999488</c:v>
                </c:pt>
                <c:pt idx="25">
                  <c:v>1.720000000000006</c:v>
                </c:pt>
                <c:pt idx="26">
                  <c:v>4.1699999999999946</c:v>
                </c:pt>
                <c:pt idx="27">
                  <c:v>14.680000000000007</c:v>
                </c:pt>
                <c:pt idx="28">
                  <c:v>3.1299999999999955</c:v>
                </c:pt>
                <c:pt idx="29">
                  <c:v>1.9699999999999989</c:v>
                </c:pt>
                <c:pt idx="30">
                  <c:v>-1.0600000000000023</c:v>
                </c:pt>
                <c:pt idx="31">
                  <c:v>-3.2000000000000028</c:v>
                </c:pt>
                <c:pt idx="32">
                  <c:v>9.0900000000000034</c:v>
                </c:pt>
                <c:pt idx="33">
                  <c:v>2.8599999999999994</c:v>
                </c:pt>
                <c:pt idx="34">
                  <c:v>0.14000000000000057</c:v>
                </c:pt>
                <c:pt idx="35">
                  <c:v>-6.7099999999999937</c:v>
                </c:pt>
                <c:pt idx="36">
                  <c:v>5.1599999999999966</c:v>
                </c:pt>
                <c:pt idx="37">
                  <c:v>4.0100000000000051</c:v>
                </c:pt>
                <c:pt idx="38">
                  <c:v>5.8199999999999932</c:v>
                </c:pt>
                <c:pt idx="39">
                  <c:v>-13.189999999999998</c:v>
                </c:pt>
                <c:pt idx="40">
                  <c:v>1.9399999999999977</c:v>
                </c:pt>
                <c:pt idx="41">
                  <c:v>2.5600000000000023</c:v>
                </c:pt>
                <c:pt idx="42">
                  <c:v>-1.9899999999999949</c:v>
                </c:pt>
                <c:pt idx="43">
                  <c:v>5.2599999999999909</c:v>
                </c:pt>
                <c:pt idx="44">
                  <c:v>1.7000000000000028</c:v>
                </c:pt>
                <c:pt idx="45">
                  <c:v>3.5499999999999972</c:v>
                </c:pt>
                <c:pt idx="46">
                  <c:v>7.210000000000008</c:v>
                </c:pt>
                <c:pt idx="47">
                  <c:v>5.7399999999999949</c:v>
                </c:pt>
                <c:pt idx="48">
                  <c:v>13.299999999999997</c:v>
                </c:pt>
                <c:pt idx="49">
                  <c:v>4.6700000000000017</c:v>
                </c:pt>
                <c:pt idx="50">
                  <c:v>9.6500000000000057</c:v>
                </c:pt>
                <c:pt idx="51">
                  <c:v>-9.4099999999999966</c:v>
                </c:pt>
                <c:pt idx="52">
                  <c:v>-5.4700000000000131</c:v>
                </c:pt>
                <c:pt idx="53">
                  <c:v>4.2200000000000131</c:v>
                </c:pt>
                <c:pt idx="54">
                  <c:v>0.54999999999999716</c:v>
                </c:pt>
                <c:pt idx="55">
                  <c:v>-11.060000000000002</c:v>
                </c:pt>
                <c:pt idx="56">
                  <c:v>3.0100000000000051</c:v>
                </c:pt>
                <c:pt idx="57">
                  <c:v>2.789999999999992</c:v>
                </c:pt>
                <c:pt idx="58">
                  <c:v>-3.1299999999999955</c:v>
                </c:pt>
              </c:numCache>
            </c:numRef>
          </c:xVal>
          <c:yVal>
            <c:numRef>
              <c:f>'Regression - Brent (directions)'!$B$25:$B$83</c:f>
              <c:numCache>
                <c:formatCode>General</c:formatCode>
                <c:ptCount val="59"/>
                <c:pt idx="0">
                  <c:v>6.9744889746844493E-2</c:v>
                </c:pt>
                <c:pt idx="1">
                  <c:v>0.22567772054122609</c:v>
                </c:pt>
                <c:pt idx="2">
                  <c:v>-3.3457032083253277E-2</c:v>
                </c:pt>
                <c:pt idx="3">
                  <c:v>2.1533772979499592E-2</c:v>
                </c:pt>
                <c:pt idx="4">
                  <c:v>9.9123539026945234E-2</c:v>
                </c:pt>
                <c:pt idx="5">
                  <c:v>0.11795600651418975</c:v>
                </c:pt>
                <c:pt idx="6">
                  <c:v>-0.12083968122406626</c:v>
                </c:pt>
                <c:pt idx="7">
                  <c:v>0.21563373788136242</c:v>
                </c:pt>
                <c:pt idx="8">
                  <c:v>0.22115792834428769</c:v>
                </c:pt>
                <c:pt idx="9">
                  <c:v>-3.144823555128097E-2</c:v>
                </c:pt>
                <c:pt idx="10">
                  <c:v>0.12247579871112851</c:v>
                </c:pt>
                <c:pt idx="11">
                  <c:v>-5.5051594801960251E-2</c:v>
                </c:pt>
                <c:pt idx="12">
                  <c:v>0.23170411013714445</c:v>
                </c:pt>
                <c:pt idx="13">
                  <c:v>3.358655217133559E-2</c:v>
                </c:pt>
                <c:pt idx="14">
                  <c:v>0.21839583311282523</c:v>
                </c:pt>
                <c:pt idx="15">
                  <c:v>0.41776888891111624</c:v>
                </c:pt>
                <c:pt idx="16">
                  <c:v>0.26258935681622497</c:v>
                </c:pt>
                <c:pt idx="17">
                  <c:v>-0.36139306592779857</c:v>
                </c:pt>
                <c:pt idx="18">
                  <c:v>-0.26873732589055699</c:v>
                </c:pt>
                <c:pt idx="19">
                  <c:v>-0.50376652013136403</c:v>
                </c:pt>
                <c:pt idx="20">
                  <c:v>-0.8440064327342417</c:v>
                </c:pt>
                <c:pt idx="21">
                  <c:v>-0.31067095349548735</c:v>
                </c:pt>
                <c:pt idx="22">
                  <c:v>-0.30112916996861694</c:v>
                </c:pt>
                <c:pt idx="23">
                  <c:v>0.2073474521869752</c:v>
                </c:pt>
                <c:pt idx="24">
                  <c:v>3.7057037582415939E-3</c:v>
                </c:pt>
                <c:pt idx="25">
                  <c:v>4.0868439599737003E-2</c:v>
                </c:pt>
                <c:pt idx="26">
                  <c:v>0.10238783339140095</c:v>
                </c:pt>
                <c:pt idx="27">
                  <c:v>0.36629347777931598</c:v>
                </c:pt>
                <c:pt idx="28">
                  <c:v>7.6273478475755746E-2</c:v>
                </c:pt>
                <c:pt idx="29">
                  <c:v>4.714592876215154E-2</c:v>
                </c:pt>
                <c:pt idx="30">
                  <c:v>-2.8937239886314869E-2</c:v>
                </c:pt>
                <c:pt idx="31">
                  <c:v>-8.2672547116584866E-2</c:v>
                </c:pt>
                <c:pt idx="32">
                  <c:v>0.22592882010772281</c:v>
                </c:pt>
                <c:pt idx="33">
                  <c:v>6.9493790180347945E-2</c:v>
                </c:pt>
                <c:pt idx="34">
                  <c:v>1.1947080932758493E-3</c:v>
                </c:pt>
                <c:pt idx="35">
                  <c:v>-0.17080849495688727</c:v>
                </c:pt>
                <c:pt idx="36">
                  <c:v>0.12724669047456327</c:v>
                </c:pt>
                <c:pt idx="37">
                  <c:v>9.8370240327455796E-2</c:v>
                </c:pt>
                <c:pt idx="38">
                  <c:v>0.14381926186333804</c:v>
                </c:pt>
                <c:pt idx="39">
                  <c:v>-0.33352101404667683</c:v>
                </c:pt>
                <c:pt idx="40">
                  <c:v>4.6392630062661748E-2</c:v>
                </c:pt>
                <c:pt idx="41">
                  <c:v>6.1960803185450358E-2</c:v>
                </c:pt>
                <c:pt idx="42">
                  <c:v>-5.228949957049743E-2</c:v>
                </c:pt>
                <c:pt idx="43">
                  <c:v>0.12975768613952904</c:v>
                </c:pt>
                <c:pt idx="44">
                  <c:v>4.0366240466743745E-2</c:v>
                </c:pt>
                <c:pt idx="45">
                  <c:v>8.6819660268612514E-2</c:v>
                </c:pt>
                <c:pt idx="46">
                  <c:v>0.17872210160636426</c:v>
                </c:pt>
                <c:pt idx="47">
                  <c:v>0.14181046533136538</c:v>
                </c:pt>
                <c:pt idx="48">
                  <c:v>0.33164173760278653</c:v>
                </c:pt>
                <c:pt idx="49">
                  <c:v>0.11494281171623057</c:v>
                </c:pt>
                <c:pt idx="50">
                  <c:v>0.23999039583153184</c:v>
                </c:pt>
                <c:pt idx="51">
                  <c:v>-0.23860537791096631</c:v>
                </c:pt>
                <c:pt idx="52">
                  <c:v>-0.13967214871131076</c:v>
                </c:pt>
                <c:pt idx="53">
                  <c:v>0.10364333122388436</c:v>
                </c:pt>
                <c:pt idx="54">
                  <c:v>1.1489790319635901E-2</c:v>
                </c:pt>
                <c:pt idx="55">
                  <c:v>-0.28003680638290357</c:v>
                </c:pt>
                <c:pt idx="56">
                  <c:v>7.3260283677796925E-2</c:v>
                </c:pt>
                <c:pt idx="57">
                  <c:v>6.7736093214871645E-2</c:v>
                </c:pt>
                <c:pt idx="58">
                  <c:v>-8.0914850151108553E-2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FE01-4945-9771-50CDAA2CFE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91735295"/>
        <c:axId val="1691740671"/>
      </c:scatterChart>
      <c:valAx>
        <c:axId val="169173529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X Variable 1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691740671"/>
        <c:crosses val="autoZero"/>
        <c:crossBetween val="midCat"/>
      </c:valAx>
      <c:valAx>
        <c:axId val="1691740671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Y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691735295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GB"/>
              <a:t>D F1 (Change in WTI Oil
(per gallon, 1 barrel = 42 gallons)) Line Fit 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 S (Change in JET FUEL Oil 
(per gallon))</c:v>
          </c:tx>
          <c:spPr>
            <a:ln w="38100">
              <a:noFill/>
            </a:ln>
          </c:spPr>
          <c:xVal>
            <c:numRef>
              <c:f>'Monthly Changes &amp; Correlations'!$N$9:$N$67</c:f>
              <c:numCache>
                <c:formatCode>General</c:formatCode>
                <c:ptCount val="59"/>
                <c:pt idx="0">
                  <c:v>3.6099999999999994</c:v>
                </c:pt>
                <c:pt idx="1">
                  <c:v>4.1599999999999966</c:v>
                </c:pt>
                <c:pt idx="2">
                  <c:v>0.15999999999999659</c:v>
                </c:pt>
                <c:pt idx="3">
                  <c:v>1.7600000000000051</c:v>
                </c:pt>
                <c:pt idx="4">
                  <c:v>6.4500000000000028</c:v>
                </c:pt>
                <c:pt idx="5">
                  <c:v>7.730000000000004</c:v>
                </c:pt>
                <c:pt idx="6">
                  <c:v>4.2199999999999989</c:v>
                </c:pt>
                <c:pt idx="7">
                  <c:v>7.6599999999999966</c:v>
                </c:pt>
                <c:pt idx="8">
                  <c:v>12.519999999999996</c:v>
                </c:pt>
                <c:pt idx="9">
                  <c:v>5.5600000000000023</c:v>
                </c:pt>
                <c:pt idx="10">
                  <c:v>7.3500000000000085</c:v>
                </c:pt>
                <c:pt idx="11">
                  <c:v>4.2800000000000011</c:v>
                </c:pt>
                <c:pt idx="12">
                  <c:v>10.11</c:v>
                </c:pt>
                <c:pt idx="13">
                  <c:v>0.23999999999999488</c:v>
                </c:pt>
                <c:pt idx="14">
                  <c:v>12.159999999999997</c:v>
                </c:pt>
                <c:pt idx="15">
                  <c:v>13.649999999999991</c:v>
                </c:pt>
                <c:pt idx="16">
                  <c:v>12.610000000000014</c:v>
                </c:pt>
                <c:pt idx="17">
                  <c:v>15.790000000000006</c:v>
                </c:pt>
                <c:pt idx="18">
                  <c:v>8.6200000000000045</c:v>
                </c:pt>
                <c:pt idx="19">
                  <c:v>14.849999999999994</c:v>
                </c:pt>
                <c:pt idx="20">
                  <c:v>32.600000000000009</c:v>
                </c:pt>
                <c:pt idx="21">
                  <c:v>12.889999999999993</c:v>
                </c:pt>
                <c:pt idx="22">
                  <c:v>10.61</c:v>
                </c:pt>
                <c:pt idx="23">
                  <c:v>2.8700000000000045</c:v>
                </c:pt>
                <c:pt idx="24">
                  <c:v>2.4200000000000017</c:v>
                </c:pt>
                <c:pt idx="25">
                  <c:v>5.490000000000002</c:v>
                </c:pt>
                <c:pt idx="26">
                  <c:v>0.71000000000000085</c:v>
                </c:pt>
                <c:pt idx="27">
                  <c:v>15.96</c:v>
                </c:pt>
                <c:pt idx="28">
                  <c:v>3.5099999999999909</c:v>
                </c:pt>
                <c:pt idx="29">
                  <c:v>0.55999999999998806</c:v>
                </c:pt>
                <c:pt idx="30">
                  <c:v>0.70999999999999375</c:v>
                </c:pt>
                <c:pt idx="31">
                  <c:v>0.48999999999999488</c:v>
                </c:pt>
                <c:pt idx="32">
                  <c:v>6.5800000000000125</c:v>
                </c:pt>
                <c:pt idx="33">
                  <c:v>0.14999999999999147</c:v>
                </c:pt>
                <c:pt idx="34">
                  <c:v>2.2000000000000028</c:v>
                </c:pt>
                <c:pt idx="35">
                  <c:v>6.5400000000000063</c:v>
                </c:pt>
                <c:pt idx="36">
                  <c:v>6.8700000000000045</c:v>
                </c:pt>
                <c:pt idx="37">
                  <c:v>3.730000000000004</c:v>
                </c:pt>
                <c:pt idx="38">
                  <c:v>2.6199999999999903</c:v>
                </c:pt>
                <c:pt idx="39">
                  <c:v>12.069999999999993</c:v>
                </c:pt>
                <c:pt idx="40">
                  <c:v>1.5900000000000034</c:v>
                </c:pt>
                <c:pt idx="41">
                  <c:v>3.2599999999999909</c:v>
                </c:pt>
                <c:pt idx="42">
                  <c:v>6.9199999999999875</c:v>
                </c:pt>
                <c:pt idx="43">
                  <c:v>8.019999999999996</c:v>
                </c:pt>
                <c:pt idx="44">
                  <c:v>1.5</c:v>
                </c:pt>
                <c:pt idx="45">
                  <c:v>2.6700000000000017</c:v>
                </c:pt>
                <c:pt idx="46">
                  <c:v>7.2599999999999909</c:v>
                </c:pt>
                <c:pt idx="47">
                  <c:v>0.39000000000000057</c:v>
                </c:pt>
                <c:pt idx="48">
                  <c:v>6.1099999999999994</c:v>
                </c:pt>
                <c:pt idx="49">
                  <c:v>9.0900000000000034</c:v>
                </c:pt>
                <c:pt idx="50">
                  <c:v>7.2000000000000028</c:v>
                </c:pt>
                <c:pt idx="51">
                  <c:v>10.689999999999998</c:v>
                </c:pt>
                <c:pt idx="52">
                  <c:v>7.4000000000000057</c:v>
                </c:pt>
                <c:pt idx="53">
                  <c:v>0.38000000000000966</c:v>
                </c:pt>
                <c:pt idx="54">
                  <c:v>6.8700000000000045</c:v>
                </c:pt>
                <c:pt idx="55">
                  <c:v>9.8799999999999955</c:v>
                </c:pt>
                <c:pt idx="56">
                  <c:v>14.259999999999991</c:v>
                </c:pt>
                <c:pt idx="57">
                  <c:v>7.1700000000000017</c:v>
                </c:pt>
                <c:pt idx="58">
                  <c:v>1.5300000000000011</c:v>
                </c:pt>
              </c:numCache>
            </c:numRef>
          </c:xVal>
          <c:yVal>
            <c:numRef>
              <c:f>'Monthly Changes &amp; Correlations'!$M$9:$M$67</c:f>
              <c:numCache>
                <c:formatCode>General</c:formatCode>
                <c:ptCount val="59"/>
                <c:pt idx="0">
                  <c:v>9.4000000000000083E-2</c:v>
                </c:pt>
                <c:pt idx="1">
                  <c:v>0.16399999999999992</c:v>
                </c:pt>
                <c:pt idx="2">
                  <c:v>3.2000000000000028E-2</c:v>
                </c:pt>
                <c:pt idx="3">
                  <c:v>4.9999999999998934E-3</c:v>
                </c:pt>
                <c:pt idx="4">
                  <c:v>4.5999999999999819E-2</c:v>
                </c:pt>
                <c:pt idx="5">
                  <c:v>0.1080000000000001</c:v>
                </c:pt>
                <c:pt idx="6">
                  <c:v>6.3000000000000167E-2</c:v>
                </c:pt>
                <c:pt idx="7">
                  <c:v>0.15300000000000002</c:v>
                </c:pt>
                <c:pt idx="8">
                  <c:v>0.30400000000000027</c:v>
                </c:pt>
                <c:pt idx="9">
                  <c:v>2.4000000000000021E-2</c:v>
                </c:pt>
                <c:pt idx="10">
                  <c:v>0.10499999999999998</c:v>
                </c:pt>
                <c:pt idx="11">
                  <c:v>0.10099999999999998</c:v>
                </c:pt>
                <c:pt idx="12">
                  <c:v>0.34299999999999997</c:v>
                </c:pt>
                <c:pt idx="13">
                  <c:v>0.14599999999999991</c:v>
                </c:pt>
                <c:pt idx="14">
                  <c:v>0.26800000000000024</c:v>
                </c:pt>
                <c:pt idx="15">
                  <c:v>0.40700000000000003</c:v>
                </c:pt>
                <c:pt idx="16">
                  <c:v>0.28399999999999936</c:v>
                </c:pt>
                <c:pt idx="17">
                  <c:v>0.46599999999999975</c:v>
                </c:pt>
                <c:pt idx="18">
                  <c:v>0.25800000000000001</c:v>
                </c:pt>
                <c:pt idx="19">
                  <c:v>0.27400000000000002</c:v>
                </c:pt>
                <c:pt idx="20">
                  <c:v>0.92799999999999994</c:v>
                </c:pt>
                <c:pt idx="21">
                  <c:v>0.33399999999999985</c:v>
                </c:pt>
                <c:pt idx="22">
                  <c:v>0.43999999999999995</c:v>
                </c:pt>
                <c:pt idx="23">
                  <c:v>9.5999999999999863E-2</c:v>
                </c:pt>
                <c:pt idx="24">
                  <c:v>0.15100000000000002</c:v>
                </c:pt>
                <c:pt idx="25">
                  <c:v>7.6000000000000068E-2</c:v>
                </c:pt>
                <c:pt idx="26">
                  <c:v>4.6999999999999931E-2</c:v>
                </c:pt>
                <c:pt idx="27">
                  <c:v>0.37799999999999989</c:v>
                </c:pt>
                <c:pt idx="28">
                  <c:v>0.1160000000000001</c:v>
                </c:pt>
                <c:pt idx="29">
                  <c:v>4.2999999999999927E-2</c:v>
                </c:pt>
                <c:pt idx="30">
                  <c:v>5.0000000000000044E-2</c:v>
                </c:pt>
                <c:pt idx="31">
                  <c:v>1.3000000000000123E-2</c:v>
                </c:pt>
                <c:pt idx="32">
                  <c:v>0.18199999999999994</c:v>
                </c:pt>
                <c:pt idx="33">
                  <c:v>2.8000000000000025E-2</c:v>
                </c:pt>
                <c:pt idx="34">
                  <c:v>8.4000000000000075E-2</c:v>
                </c:pt>
                <c:pt idx="35">
                  <c:v>0.17800000000000016</c:v>
                </c:pt>
                <c:pt idx="36">
                  <c:v>0.14500000000000024</c:v>
                </c:pt>
                <c:pt idx="37">
                  <c:v>0.13300000000000001</c:v>
                </c:pt>
                <c:pt idx="38">
                  <c:v>0.13599999999999968</c:v>
                </c:pt>
                <c:pt idx="39">
                  <c:v>0.2849999999999997</c:v>
                </c:pt>
                <c:pt idx="40">
                  <c:v>4.6000000000000041E-2</c:v>
                </c:pt>
                <c:pt idx="41">
                  <c:v>9.9999999999999867E-2</c:v>
                </c:pt>
                <c:pt idx="42">
                  <c:v>8.3000000000000185E-2</c:v>
                </c:pt>
                <c:pt idx="43">
                  <c:v>0.22900000000000009</c:v>
                </c:pt>
                <c:pt idx="44">
                  <c:v>1.4000000000000234E-2</c:v>
                </c:pt>
                <c:pt idx="45">
                  <c:v>3.7999999999999812E-2</c:v>
                </c:pt>
                <c:pt idx="46">
                  <c:v>0.2370000000000001</c:v>
                </c:pt>
                <c:pt idx="47">
                  <c:v>0.21399999999999997</c:v>
                </c:pt>
                <c:pt idx="48">
                  <c:v>0.25600000000000023</c:v>
                </c:pt>
                <c:pt idx="49">
                  <c:v>0.16299999999999981</c:v>
                </c:pt>
                <c:pt idx="50">
                  <c:v>0.20699999999999985</c:v>
                </c:pt>
                <c:pt idx="51">
                  <c:v>0.23399999999999999</c:v>
                </c:pt>
                <c:pt idx="52">
                  <c:v>0.1379999999999999</c:v>
                </c:pt>
                <c:pt idx="53">
                  <c:v>0.16500000000000004</c:v>
                </c:pt>
                <c:pt idx="54">
                  <c:v>4.8000000000000043E-2</c:v>
                </c:pt>
                <c:pt idx="55">
                  <c:v>0.26900000000000013</c:v>
                </c:pt>
                <c:pt idx="56">
                  <c:v>0.18400000000000016</c:v>
                </c:pt>
                <c:pt idx="57">
                  <c:v>2.7000000000000135E-2</c:v>
                </c:pt>
                <c:pt idx="58">
                  <c:v>8.4000000000000075E-2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CEE2-C54B-91D3-5AB7E7BF30D1}"/>
            </c:ext>
          </c:extLst>
        </c:ser>
        <c:ser>
          <c:idx val="1"/>
          <c:order val="1"/>
          <c:tx>
            <c:v>Predicted D S (Change in JET FUEL Oil 
(per gallon))</c:v>
          </c:tx>
          <c:spPr>
            <a:ln w="38100">
              <a:noFill/>
            </a:ln>
          </c:spPr>
          <c:xVal>
            <c:numRef>
              <c:f>'Monthly Changes &amp; Correlations'!$N$9:$N$67</c:f>
              <c:numCache>
                <c:formatCode>General</c:formatCode>
                <c:ptCount val="59"/>
                <c:pt idx="0">
                  <c:v>3.6099999999999994</c:v>
                </c:pt>
                <c:pt idx="1">
                  <c:v>4.1599999999999966</c:v>
                </c:pt>
                <c:pt idx="2">
                  <c:v>0.15999999999999659</c:v>
                </c:pt>
                <c:pt idx="3">
                  <c:v>1.7600000000000051</c:v>
                </c:pt>
                <c:pt idx="4">
                  <c:v>6.4500000000000028</c:v>
                </c:pt>
                <c:pt idx="5">
                  <c:v>7.730000000000004</c:v>
                </c:pt>
                <c:pt idx="6">
                  <c:v>4.2199999999999989</c:v>
                </c:pt>
                <c:pt idx="7">
                  <c:v>7.6599999999999966</c:v>
                </c:pt>
                <c:pt idx="8">
                  <c:v>12.519999999999996</c:v>
                </c:pt>
                <c:pt idx="9">
                  <c:v>5.5600000000000023</c:v>
                </c:pt>
                <c:pt idx="10">
                  <c:v>7.3500000000000085</c:v>
                </c:pt>
                <c:pt idx="11">
                  <c:v>4.2800000000000011</c:v>
                </c:pt>
                <c:pt idx="12">
                  <c:v>10.11</c:v>
                </c:pt>
                <c:pt idx="13">
                  <c:v>0.23999999999999488</c:v>
                </c:pt>
                <c:pt idx="14">
                  <c:v>12.159999999999997</c:v>
                </c:pt>
                <c:pt idx="15">
                  <c:v>13.649999999999991</c:v>
                </c:pt>
                <c:pt idx="16">
                  <c:v>12.610000000000014</c:v>
                </c:pt>
                <c:pt idx="17">
                  <c:v>15.790000000000006</c:v>
                </c:pt>
                <c:pt idx="18">
                  <c:v>8.6200000000000045</c:v>
                </c:pt>
                <c:pt idx="19">
                  <c:v>14.849999999999994</c:v>
                </c:pt>
                <c:pt idx="20">
                  <c:v>32.600000000000009</c:v>
                </c:pt>
                <c:pt idx="21">
                  <c:v>12.889999999999993</c:v>
                </c:pt>
                <c:pt idx="22">
                  <c:v>10.61</c:v>
                </c:pt>
                <c:pt idx="23">
                  <c:v>2.8700000000000045</c:v>
                </c:pt>
                <c:pt idx="24">
                  <c:v>2.4200000000000017</c:v>
                </c:pt>
                <c:pt idx="25">
                  <c:v>5.490000000000002</c:v>
                </c:pt>
                <c:pt idx="26">
                  <c:v>0.71000000000000085</c:v>
                </c:pt>
                <c:pt idx="27">
                  <c:v>15.96</c:v>
                </c:pt>
                <c:pt idx="28">
                  <c:v>3.5099999999999909</c:v>
                </c:pt>
                <c:pt idx="29">
                  <c:v>0.55999999999998806</c:v>
                </c:pt>
                <c:pt idx="30">
                  <c:v>0.70999999999999375</c:v>
                </c:pt>
                <c:pt idx="31">
                  <c:v>0.48999999999999488</c:v>
                </c:pt>
                <c:pt idx="32">
                  <c:v>6.5800000000000125</c:v>
                </c:pt>
                <c:pt idx="33">
                  <c:v>0.14999999999999147</c:v>
                </c:pt>
                <c:pt idx="34">
                  <c:v>2.2000000000000028</c:v>
                </c:pt>
                <c:pt idx="35">
                  <c:v>6.5400000000000063</c:v>
                </c:pt>
                <c:pt idx="36">
                  <c:v>6.8700000000000045</c:v>
                </c:pt>
                <c:pt idx="37">
                  <c:v>3.730000000000004</c:v>
                </c:pt>
                <c:pt idx="38">
                  <c:v>2.6199999999999903</c:v>
                </c:pt>
                <c:pt idx="39">
                  <c:v>12.069999999999993</c:v>
                </c:pt>
                <c:pt idx="40">
                  <c:v>1.5900000000000034</c:v>
                </c:pt>
                <c:pt idx="41">
                  <c:v>3.2599999999999909</c:v>
                </c:pt>
                <c:pt idx="42">
                  <c:v>6.9199999999999875</c:v>
                </c:pt>
                <c:pt idx="43">
                  <c:v>8.019999999999996</c:v>
                </c:pt>
                <c:pt idx="44">
                  <c:v>1.5</c:v>
                </c:pt>
                <c:pt idx="45">
                  <c:v>2.6700000000000017</c:v>
                </c:pt>
                <c:pt idx="46">
                  <c:v>7.2599999999999909</c:v>
                </c:pt>
                <c:pt idx="47">
                  <c:v>0.39000000000000057</c:v>
                </c:pt>
                <c:pt idx="48">
                  <c:v>6.1099999999999994</c:v>
                </c:pt>
                <c:pt idx="49">
                  <c:v>9.0900000000000034</c:v>
                </c:pt>
                <c:pt idx="50">
                  <c:v>7.2000000000000028</c:v>
                </c:pt>
                <c:pt idx="51">
                  <c:v>10.689999999999998</c:v>
                </c:pt>
                <c:pt idx="52">
                  <c:v>7.4000000000000057</c:v>
                </c:pt>
                <c:pt idx="53">
                  <c:v>0.38000000000000966</c:v>
                </c:pt>
                <c:pt idx="54">
                  <c:v>6.8700000000000045</c:v>
                </c:pt>
                <c:pt idx="55">
                  <c:v>9.8799999999999955</c:v>
                </c:pt>
                <c:pt idx="56">
                  <c:v>14.259999999999991</c:v>
                </c:pt>
                <c:pt idx="57">
                  <c:v>7.1700000000000017</c:v>
                </c:pt>
                <c:pt idx="58">
                  <c:v>1.5300000000000011</c:v>
                </c:pt>
              </c:numCache>
            </c:numRef>
          </c:xVal>
          <c:yVal>
            <c:numRef>
              <c:f>'Regression - WTI'!$B$25:$B$83</c:f>
              <c:numCache>
                <c:formatCode>General</c:formatCode>
                <c:ptCount val="59"/>
                <c:pt idx="0">
                  <c:v>0.10114182520304527</c:v>
                </c:pt>
                <c:pt idx="1">
                  <c:v>0.11398621962978127</c:v>
                </c:pt>
                <c:pt idx="2">
                  <c:v>2.0572441980791674E-2</c:v>
                </c:pt>
                <c:pt idx="3">
                  <c:v>5.7937953040387707E-2</c:v>
                </c:pt>
                <c:pt idx="4">
                  <c:v>0.16746560733382795</c:v>
                </c:pt>
                <c:pt idx="5">
                  <c:v>0.19735801618150464</c:v>
                </c:pt>
                <c:pt idx="6">
                  <c:v>0.11538742629451616</c:v>
                </c:pt>
                <c:pt idx="7">
                  <c:v>0.19572327507264714</c:v>
                </c:pt>
                <c:pt idx="8">
                  <c:v>0.30922101491616949</c:v>
                </c:pt>
                <c:pt idx="9">
                  <c:v>0.14668104180692776</c:v>
                </c:pt>
                <c:pt idx="10">
                  <c:v>0.18848370730485073</c:v>
                </c:pt>
                <c:pt idx="11">
                  <c:v>0.11678863295925106</c:v>
                </c:pt>
                <c:pt idx="12">
                  <c:v>0.25293921388265334</c:v>
                </c:pt>
                <c:pt idx="13">
                  <c:v>2.2440717533771425E-2</c:v>
                </c:pt>
                <c:pt idx="14">
                  <c:v>0.30081377492776046</c:v>
                </c:pt>
                <c:pt idx="15">
                  <c:v>0.33561040710200896</c:v>
                </c:pt>
                <c:pt idx="16">
                  <c:v>0.31132282491327218</c:v>
                </c:pt>
                <c:pt idx="17">
                  <c:v>0.38558677814421871</c:v>
                </c:pt>
                <c:pt idx="18">
                  <c:v>0.21814258170840484</c:v>
                </c:pt>
                <c:pt idx="19">
                  <c:v>0.3636345403967059</c:v>
                </c:pt>
                <c:pt idx="20">
                  <c:v>0.77815817871409754</c:v>
                </c:pt>
                <c:pt idx="21">
                  <c:v>0.31786178934870096</c:v>
                </c:pt>
                <c:pt idx="22">
                  <c:v>0.26461593608877704</c:v>
                </c:pt>
                <c:pt idx="23">
                  <c:v>8.3860276337982306E-2</c:v>
                </c:pt>
                <c:pt idx="24">
                  <c:v>7.3351226352470905E-2</c:v>
                </c:pt>
                <c:pt idx="25">
                  <c:v>0.14504630069807042</c:v>
                </c:pt>
                <c:pt idx="26">
                  <c:v>3.3416836407527843E-2</c:v>
                </c:pt>
                <c:pt idx="27">
                  <c:v>0.38955686369430065</c:v>
                </c:pt>
                <c:pt idx="28">
                  <c:v>9.8806480761820317E-2</c:v>
                </c:pt>
                <c:pt idx="29">
                  <c:v>2.9913819745690434E-2</c:v>
                </c:pt>
                <c:pt idx="30">
                  <c:v>3.3416836407527677E-2</c:v>
                </c:pt>
                <c:pt idx="31">
                  <c:v>2.8279078636833276E-2</c:v>
                </c:pt>
                <c:pt idx="32">
                  <c:v>0.17050155510742032</c:v>
                </c:pt>
                <c:pt idx="33">
                  <c:v>2.0338907536669081E-2</c:v>
                </c:pt>
                <c:pt idx="34">
                  <c:v>6.8213468581776515E-2</c:v>
                </c:pt>
                <c:pt idx="35">
                  <c:v>0.16956741733093028</c:v>
                </c:pt>
                <c:pt idx="36">
                  <c:v>0.17727405398697191</c:v>
                </c:pt>
                <c:pt idx="37">
                  <c:v>0.10394423853251505</c:v>
                </c:pt>
                <c:pt idx="38">
                  <c:v>7.8021915234920122E-2</c:v>
                </c:pt>
                <c:pt idx="39">
                  <c:v>0.2987119649306581</c:v>
                </c:pt>
                <c:pt idx="40">
                  <c:v>5.3967867490305611E-2</c:v>
                </c:pt>
                <c:pt idx="41">
                  <c:v>9.2968119658758466E-2</c:v>
                </c:pt>
                <c:pt idx="42">
                  <c:v>0.17844172620758386</c:v>
                </c:pt>
                <c:pt idx="43">
                  <c:v>0.2041305150610562</c:v>
                </c:pt>
                <c:pt idx="44">
                  <c:v>5.1866057493203263E-2</c:v>
                </c:pt>
                <c:pt idx="45">
                  <c:v>7.9189587455532756E-2</c:v>
                </c:pt>
                <c:pt idx="46">
                  <c:v>0.18638189730774807</c:v>
                </c:pt>
                <c:pt idx="47">
                  <c:v>2.5943734195608668E-2</c:v>
                </c:pt>
                <c:pt idx="48">
                  <c:v>0.15952543623366375</c:v>
                </c:pt>
                <c:pt idx="49">
                  <c:v>0.22911870058216108</c:v>
                </c:pt>
                <c:pt idx="50">
                  <c:v>0.18498069064301351</c:v>
                </c:pt>
                <c:pt idx="51">
                  <c:v>0.26648421164175679</c:v>
                </c:pt>
                <c:pt idx="52">
                  <c:v>0.18965137952546304</c:v>
                </c:pt>
                <c:pt idx="53">
                  <c:v>2.5710199751486407E-2</c:v>
                </c:pt>
                <c:pt idx="54">
                  <c:v>0.17727405398697191</c:v>
                </c:pt>
                <c:pt idx="55">
                  <c:v>0.24756792166783634</c:v>
                </c:pt>
                <c:pt idx="56">
                  <c:v>0.34985600819347984</c:v>
                </c:pt>
                <c:pt idx="57">
                  <c:v>0.18428008731064605</c:v>
                </c:pt>
                <c:pt idx="58">
                  <c:v>5.2566660825570717E-2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CEE2-C54B-91D3-5AB7E7BF30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22561088"/>
        <c:axId val="722566016"/>
      </c:scatterChart>
      <c:valAx>
        <c:axId val="72256108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D F1 (Change in WTI Oil
(per gallon, 1 barrel = 42 gallons))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722566016"/>
        <c:crosses val="autoZero"/>
        <c:crossBetween val="midCat"/>
      </c:valAx>
      <c:valAx>
        <c:axId val="72256601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D S (Change in JET FUEL Oil 
(per gallon))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722561088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GB"/>
              <a:t>X Variable 1 Line Fit 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Y</c:v>
          </c:tx>
          <c:spPr>
            <a:ln w="38100">
              <a:noFill/>
            </a:ln>
          </c:spPr>
          <c:xVal>
            <c:numRef>
              <c:f>'Monthly Changes &amp; Correlations'!$S$9:$S$67</c:f>
              <c:numCache>
                <c:formatCode>General</c:formatCode>
                <c:ptCount val="59"/>
                <c:pt idx="0">
                  <c:v>3.6099999999999994</c:v>
                </c:pt>
                <c:pt idx="1">
                  <c:v>4.1599999999999966</c:v>
                </c:pt>
                <c:pt idx="2">
                  <c:v>-0.15999999999999659</c:v>
                </c:pt>
                <c:pt idx="3">
                  <c:v>-1.7600000000000051</c:v>
                </c:pt>
                <c:pt idx="4">
                  <c:v>6.4500000000000028</c:v>
                </c:pt>
                <c:pt idx="5">
                  <c:v>7.730000000000004</c:v>
                </c:pt>
                <c:pt idx="6">
                  <c:v>-4.2199999999999989</c:v>
                </c:pt>
                <c:pt idx="7">
                  <c:v>7.6599999999999966</c:v>
                </c:pt>
                <c:pt idx="8">
                  <c:v>12.519999999999996</c:v>
                </c:pt>
                <c:pt idx="9">
                  <c:v>-5.5600000000000023</c:v>
                </c:pt>
                <c:pt idx="10">
                  <c:v>7.3500000000000085</c:v>
                </c:pt>
                <c:pt idx="11">
                  <c:v>-4.2800000000000011</c:v>
                </c:pt>
                <c:pt idx="12">
                  <c:v>10.11</c:v>
                </c:pt>
                <c:pt idx="13">
                  <c:v>-0.23999999999999488</c:v>
                </c:pt>
                <c:pt idx="14">
                  <c:v>12.159999999999997</c:v>
                </c:pt>
                <c:pt idx="15">
                  <c:v>13.649999999999991</c:v>
                </c:pt>
                <c:pt idx="16">
                  <c:v>12.610000000000014</c:v>
                </c:pt>
                <c:pt idx="17">
                  <c:v>-15.790000000000006</c:v>
                </c:pt>
                <c:pt idx="18">
                  <c:v>-8.6200000000000045</c:v>
                </c:pt>
                <c:pt idx="19">
                  <c:v>-14.849999999999994</c:v>
                </c:pt>
                <c:pt idx="20">
                  <c:v>-32.600000000000009</c:v>
                </c:pt>
                <c:pt idx="21">
                  <c:v>-12.889999999999993</c:v>
                </c:pt>
                <c:pt idx="22">
                  <c:v>-10.61</c:v>
                </c:pt>
                <c:pt idx="23">
                  <c:v>-2.8700000000000045</c:v>
                </c:pt>
                <c:pt idx="24">
                  <c:v>2.4200000000000017</c:v>
                </c:pt>
                <c:pt idx="25">
                  <c:v>5.490000000000002</c:v>
                </c:pt>
                <c:pt idx="26">
                  <c:v>0.71000000000000085</c:v>
                </c:pt>
                <c:pt idx="27">
                  <c:v>15.96</c:v>
                </c:pt>
                <c:pt idx="28">
                  <c:v>3.5099999999999909</c:v>
                </c:pt>
                <c:pt idx="29">
                  <c:v>-0.55999999999998806</c:v>
                </c:pt>
                <c:pt idx="30">
                  <c:v>0.70999999999999375</c:v>
                </c:pt>
                <c:pt idx="31">
                  <c:v>0.48999999999999488</c:v>
                </c:pt>
                <c:pt idx="32">
                  <c:v>6.5800000000000125</c:v>
                </c:pt>
                <c:pt idx="33">
                  <c:v>0.14999999999999147</c:v>
                </c:pt>
                <c:pt idx="34">
                  <c:v>2.2000000000000028</c:v>
                </c:pt>
                <c:pt idx="35">
                  <c:v>-6.5400000000000063</c:v>
                </c:pt>
                <c:pt idx="36">
                  <c:v>6.8700000000000045</c:v>
                </c:pt>
                <c:pt idx="37">
                  <c:v>3.730000000000004</c:v>
                </c:pt>
                <c:pt idx="38">
                  <c:v>2.6199999999999903</c:v>
                </c:pt>
                <c:pt idx="39">
                  <c:v>-12.069999999999993</c:v>
                </c:pt>
                <c:pt idx="40">
                  <c:v>1.5900000000000034</c:v>
                </c:pt>
                <c:pt idx="41">
                  <c:v>3.2599999999999909</c:v>
                </c:pt>
                <c:pt idx="42">
                  <c:v>-6.9199999999999875</c:v>
                </c:pt>
                <c:pt idx="43">
                  <c:v>8.019999999999996</c:v>
                </c:pt>
                <c:pt idx="44">
                  <c:v>1.5</c:v>
                </c:pt>
                <c:pt idx="45">
                  <c:v>2.6700000000000017</c:v>
                </c:pt>
                <c:pt idx="46">
                  <c:v>7.2599999999999909</c:v>
                </c:pt>
                <c:pt idx="47">
                  <c:v>-0.39000000000000057</c:v>
                </c:pt>
                <c:pt idx="48">
                  <c:v>6.1099999999999994</c:v>
                </c:pt>
                <c:pt idx="49">
                  <c:v>9.0900000000000034</c:v>
                </c:pt>
                <c:pt idx="50">
                  <c:v>7.2000000000000028</c:v>
                </c:pt>
                <c:pt idx="51">
                  <c:v>-10.689999999999998</c:v>
                </c:pt>
                <c:pt idx="52">
                  <c:v>-7.4000000000000057</c:v>
                </c:pt>
                <c:pt idx="53">
                  <c:v>0.38000000000000966</c:v>
                </c:pt>
                <c:pt idx="54">
                  <c:v>-6.8700000000000045</c:v>
                </c:pt>
                <c:pt idx="55">
                  <c:v>-9.8799999999999955</c:v>
                </c:pt>
                <c:pt idx="56">
                  <c:v>14.259999999999991</c:v>
                </c:pt>
                <c:pt idx="57">
                  <c:v>7.1700000000000017</c:v>
                </c:pt>
                <c:pt idx="58">
                  <c:v>-1.5300000000000011</c:v>
                </c:pt>
              </c:numCache>
            </c:numRef>
          </c:xVal>
          <c:yVal>
            <c:numRef>
              <c:f>'Monthly Changes &amp; Correlations'!$R$9:$R$67</c:f>
              <c:numCache>
                <c:formatCode>General</c:formatCode>
                <c:ptCount val="59"/>
                <c:pt idx="0">
                  <c:v>9.4000000000000083E-2</c:v>
                </c:pt>
                <c:pt idx="1">
                  <c:v>0.16399999999999992</c:v>
                </c:pt>
                <c:pt idx="2">
                  <c:v>3.2000000000000028E-2</c:v>
                </c:pt>
                <c:pt idx="3">
                  <c:v>-4.9999999999998934E-3</c:v>
                </c:pt>
                <c:pt idx="4">
                  <c:v>4.5999999999999819E-2</c:v>
                </c:pt>
                <c:pt idx="5">
                  <c:v>0.1080000000000001</c:v>
                </c:pt>
                <c:pt idx="6">
                  <c:v>-6.3000000000000167E-2</c:v>
                </c:pt>
                <c:pt idx="7">
                  <c:v>0.15300000000000002</c:v>
                </c:pt>
                <c:pt idx="8">
                  <c:v>0.30400000000000027</c:v>
                </c:pt>
                <c:pt idx="9">
                  <c:v>-2.4000000000000021E-2</c:v>
                </c:pt>
                <c:pt idx="10">
                  <c:v>0.10499999999999998</c:v>
                </c:pt>
                <c:pt idx="11">
                  <c:v>-0.10099999999999998</c:v>
                </c:pt>
                <c:pt idx="12">
                  <c:v>0.34299999999999997</c:v>
                </c:pt>
                <c:pt idx="13">
                  <c:v>0.14599999999999991</c:v>
                </c:pt>
                <c:pt idx="14">
                  <c:v>0.26800000000000024</c:v>
                </c:pt>
                <c:pt idx="15">
                  <c:v>0.40700000000000003</c:v>
                </c:pt>
                <c:pt idx="16">
                  <c:v>0.28399999999999936</c:v>
                </c:pt>
                <c:pt idx="17">
                  <c:v>-0.46599999999999975</c:v>
                </c:pt>
                <c:pt idx="18">
                  <c:v>-0.25800000000000001</c:v>
                </c:pt>
                <c:pt idx="19">
                  <c:v>-0.27400000000000002</c:v>
                </c:pt>
                <c:pt idx="20">
                  <c:v>-0.92799999999999994</c:v>
                </c:pt>
                <c:pt idx="21">
                  <c:v>-0.33399999999999985</c:v>
                </c:pt>
                <c:pt idx="22">
                  <c:v>-0.43999999999999995</c:v>
                </c:pt>
                <c:pt idx="23">
                  <c:v>9.5999999999999863E-2</c:v>
                </c:pt>
                <c:pt idx="24">
                  <c:v>-0.15100000000000002</c:v>
                </c:pt>
                <c:pt idx="25">
                  <c:v>7.6000000000000068E-2</c:v>
                </c:pt>
                <c:pt idx="26">
                  <c:v>-4.6999999999999931E-2</c:v>
                </c:pt>
                <c:pt idx="27">
                  <c:v>0.37799999999999989</c:v>
                </c:pt>
                <c:pt idx="28">
                  <c:v>0.1160000000000001</c:v>
                </c:pt>
                <c:pt idx="29">
                  <c:v>4.2999999999999927E-2</c:v>
                </c:pt>
                <c:pt idx="30">
                  <c:v>-5.0000000000000044E-2</c:v>
                </c:pt>
                <c:pt idx="31">
                  <c:v>1.3000000000000123E-2</c:v>
                </c:pt>
                <c:pt idx="32">
                  <c:v>0.18199999999999994</c:v>
                </c:pt>
                <c:pt idx="33">
                  <c:v>2.8000000000000025E-2</c:v>
                </c:pt>
                <c:pt idx="34">
                  <c:v>8.4000000000000075E-2</c:v>
                </c:pt>
                <c:pt idx="35">
                  <c:v>-0.17800000000000016</c:v>
                </c:pt>
                <c:pt idx="36">
                  <c:v>0.14500000000000024</c:v>
                </c:pt>
                <c:pt idx="37">
                  <c:v>0.13300000000000001</c:v>
                </c:pt>
                <c:pt idx="38">
                  <c:v>0.13599999999999968</c:v>
                </c:pt>
                <c:pt idx="39">
                  <c:v>-0.2849999999999997</c:v>
                </c:pt>
                <c:pt idx="40">
                  <c:v>-4.6000000000000041E-2</c:v>
                </c:pt>
                <c:pt idx="41">
                  <c:v>9.9999999999999867E-2</c:v>
                </c:pt>
                <c:pt idx="42">
                  <c:v>-8.3000000000000185E-2</c:v>
                </c:pt>
                <c:pt idx="43">
                  <c:v>0.22900000000000009</c:v>
                </c:pt>
                <c:pt idx="44">
                  <c:v>1.4000000000000234E-2</c:v>
                </c:pt>
                <c:pt idx="45">
                  <c:v>3.7999999999999812E-2</c:v>
                </c:pt>
                <c:pt idx="46">
                  <c:v>0.2370000000000001</c:v>
                </c:pt>
                <c:pt idx="47">
                  <c:v>0.21399999999999997</c:v>
                </c:pt>
                <c:pt idx="48">
                  <c:v>0.25600000000000023</c:v>
                </c:pt>
                <c:pt idx="49">
                  <c:v>0.16299999999999981</c:v>
                </c:pt>
                <c:pt idx="50">
                  <c:v>0.20699999999999985</c:v>
                </c:pt>
                <c:pt idx="51">
                  <c:v>-0.23399999999999999</c:v>
                </c:pt>
                <c:pt idx="52">
                  <c:v>-0.1379999999999999</c:v>
                </c:pt>
                <c:pt idx="53">
                  <c:v>0.16500000000000004</c:v>
                </c:pt>
                <c:pt idx="54">
                  <c:v>-4.8000000000000043E-2</c:v>
                </c:pt>
                <c:pt idx="55">
                  <c:v>-0.26900000000000013</c:v>
                </c:pt>
                <c:pt idx="56">
                  <c:v>0.18400000000000016</c:v>
                </c:pt>
                <c:pt idx="57">
                  <c:v>-2.7000000000000135E-2</c:v>
                </c:pt>
                <c:pt idx="58">
                  <c:v>-8.4000000000000075E-2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1FCF-814F-832D-762E73FE15B5}"/>
            </c:ext>
          </c:extLst>
        </c:ser>
        <c:ser>
          <c:idx val="1"/>
          <c:order val="1"/>
          <c:tx>
            <c:v>Predicted Y</c:v>
          </c:tx>
          <c:spPr>
            <a:ln w="38100">
              <a:noFill/>
            </a:ln>
          </c:spPr>
          <c:xVal>
            <c:numRef>
              <c:f>'Monthly Changes &amp; Correlations'!$S$9:$S$67</c:f>
              <c:numCache>
                <c:formatCode>General</c:formatCode>
                <c:ptCount val="59"/>
                <c:pt idx="0">
                  <c:v>3.6099999999999994</c:v>
                </c:pt>
                <c:pt idx="1">
                  <c:v>4.1599999999999966</c:v>
                </c:pt>
                <c:pt idx="2">
                  <c:v>-0.15999999999999659</c:v>
                </c:pt>
                <c:pt idx="3">
                  <c:v>-1.7600000000000051</c:v>
                </c:pt>
                <c:pt idx="4">
                  <c:v>6.4500000000000028</c:v>
                </c:pt>
                <c:pt idx="5">
                  <c:v>7.730000000000004</c:v>
                </c:pt>
                <c:pt idx="6">
                  <c:v>-4.2199999999999989</c:v>
                </c:pt>
                <c:pt idx="7">
                  <c:v>7.6599999999999966</c:v>
                </c:pt>
                <c:pt idx="8">
                  <c:v>12.519999999999996</c:v>
                </c:pt>
                <c:pt idx="9">
                  <c:v>-5.5600000000000023</c:v>
                </c:pt>
                <c:pt idx="10">
                  <c:v>7.3500000000000085</c:v>
                </c:pt>
                <c:pt idx="11">
                  <c:v>-4.2800000000000011</c:v>
                </c:pt>
                <c:pt idx="12">
                  <c:v>10.11</c:v>
                </c:pt>
                <c:pt idx="13">
                  <c:v>-0.23999999999999488</c:v>
                </c:pt>
                <c:pt idx="14">
                  <c:v>12.159999999999997</c:v>
                </c:pt>
                <c:pt idx="15">
                  <c:v>13.649999999999991</c:v>
                </c:pt>
                <c:pt idx="16">
                  <c:v>12.610000000000014</c:v>
                </c:pt>
                <c:pt idx="17">
                  <c:v>-15.790000000000006</c:v>
                </c:pt>
                <c:pt idx="18">
                  <c:v>-8.6200000000000045</c:v>
                </c:pt>
                <c:pt idx="19">
                  <c:v>-14.849999999999994</c:v>
                </c:pt>
                <c:pt idx="20">
                  <c:v>-32.600000000000009</c:v>
                </c:pt>
                <c:pt idx="21">
                  <c:v>-12.889999999999993</c:v>
                </c:pt>
                <c:pt idx="22">
                  <c:v>-10.61</c:v>
                </c:pt>
                <c:pt idx="23">
                  <c:v>-2.8700000000000045</c:v>
                </c:pt>
                <c:pt idx="24">
                  <c:v>2.4200000000000017</c:v>
                </c:pt>
                <c:pt idx="25">
                  <c:v>5.490000000000002</c:v>
                </c:pt>
                <c:pt idx="26">
                  <c:v>0.71000000000000085</c:v>
                </c:pt>
                <c:pt idx="27">
                  <c:v>15.96</c:v>
                </c:pt>
                <c:pt idx="28">
                  <c:v>3.5099999999999909</c:v>
                </c:pt>
                <c:pt idx="29">
                  <c:v>-0.55999999999998806</c:v>
                </c:pt>
                <c:pt idx="30">
                  <c:v>0.70999999999999375</c:v>
                </c:pt>
                <c:pt idx="31">
                  <c:v>0.48999999999999488</c:v>
                </c:pt>
                <c:pt idx="32">
                  <c:v>6.5800000000000125</c:v>
                </c:pt>
                <c:pt idx="33">
                  <c:v>0.14999999999999147</c:v>
                </c:pt>
                <c:pt idx="34">
                  <c:v>2.2000000000000028</c:v>
                </c:pt>
                <c:pt idx="35">
                  <c:v>-6.5400000000000063</c:v>
                </c:pt>
                <c:pt idx="36">
                  <c:v>6.8700000000000045</c:v>
                </c:pt>
                <c:pt idx="37">
                  <c:v>3.730000000000004</c:v>
                </c:pt>
                <c:pt idx="38">
                  <c:v>2.6199999999999903</c:v>
                </c:pt>
                <c:pt idx="39">
                  <c:v>-12.069999999999993</c:v>
                </c:pt>
                <c:pt idx="40">
                  <c:v>1.5900000000000034</c:v>
                </c:pt>
                <c:pt idx="41">
                  <c:v>3.2599999999999909</c:v>
                </c:pt>
                <c:pt idx="42">
                  <c:v>-6.9199999999999875</c:v>
                </c:pt>
                <c:pt idx="43">
                  <c:v>8.019999999999996</c:v>
                </c:pt>
                <c:pt idx="44">
                  <c:v>1.5</c:v>
                </c:pt>
                <c:pt idx="45">
                  <c:v>2.6700000000000017</c:v>
                </c:pt>
                <c:pt idx="46">
                  <c:v>7.2599999999999909</c:v>
                </c:pt>
                <c:pt idx="47">
                  <c:v>-0.39000000000000057</c:v>
                </c:pt>
                <c:pt idx="48">
                  <c:v>6.1099999999999994</c:v>
                </c:pt>
                <c:pt idx="49">
                  <c:v>9.0900000000000034</c:v>
                </c:pt>
                <c:pt idx="50">
                  <c:v>7.2000000000000028</c:v>
                </c:pt>
                <c:pt idx="51">
                  <c:v>-10.689999999999998</c:v>
                </c:pt>
                <c:pt idx="52">
                  <c:v>-7.4000000000000057</c:v>
                </c:pt>
                <c:pt idx="53">
                  <c:v>0.38000000000000966</c:v>
                </c:pt>
                <c:pt idx="54">
                  <c:v>-6.8700000000000045</c:v>
                </c:pt>
                <c:pt idx="55">
                  <c:v>-9.8799999999999955</c:v>
                </c:pt>
                <c:pt idx="56">
                  <c:v>14.259999999999991</c:v>
                </c:pt>
                <c:pt idx="57">
                  <c:v>7.1700000000000017</c:v>
                </c:pt>
                <c:pt idx="58">
                  <c:v>-1.5300000000000011</c:v>
                </c:pt>
              </c:numCache>
            </c:numRef>
          </c:xVal>
          <c:yVal>
            <c:numRef>
              <c:f>'Regression - WTI (directions)'!$B$25:$B$83</c:f>
              <c:numCache>
                <c:formatCode>General</c:formatCode>
                <c:ptCount val="59"/>
                <c:pt idx="0">
                  <c:v>9.0622739460779672E-2</c:v>
                </c:pt>
                <c:pt idx="1">
                  <c:v>0.10399132238599461</c:v>
                </c:pt>
                <c:pt idx="2">
                  <c:v>-1.0128198629666804E-3</c:v>
                </c:pt>
                <c:pt idx="3">
                  <c:v>-3.9903242918137793E-2</c:v>
                </c:pt>
                <c:pt idx="4">
                  <c:v>0.15965324038370812</c:v>
                </c:pt>
                <c:pt idx="5">
                  <c:v>0.19076557882784487</c:v>
                </c:pt>
                <c:pt idx="6">
                  <c:v>-9.9697268365462915E-2</c:v>
                </c:pt>
                <c:pt idx="7">
                  <c:v>0.18906412281918097</c:v>
                </c:pt>
                <c:pt idx="8">
                  <c:v>0.30719378284926258</c:v>
                </c:pt>
                <c:pt idx="9">
                  <c:v>-0.13226799767416864</c:v>
                </c:pt>
                <c:pt idx="10">
                  <c:v>0.1815291033522419</c:v>
                </c:pt>
                <c:pt idx="11">
                  <c:v>-0.10115565923003188</c:v>
                </c:pt>
                <c:pt idx="12">
                  <c:v>0.24861508312241148</c:v>
                </c:pt>
                <c:pt idx="13">
                  <c:v>-2.9573410157251847E-3</c:v>
                </c:pt>
                <c:pt idx="14">
                  <c:v>0.29844343766184916</c:v>
                </c:pt>
                <c:pt idx="15">
                  <c:v>0.33466014413197692</c:v>
                </c:pt>
                <c:pt idx="16">
                  <c:v>0.30938136914611636</c:v>
                </c:pt>
                <c:pt idx="17">
                  <c:v>-0.3809236400831677</c:v>
                </c:pt>
                <c:pt idx="18">
                  <c:v>-0.20664593176718304</c:v>
                </c:pt>
                <c:pt idx="19">
                  <c:v>-0.35807551653825453</c:v>
                </c:pt>
                <c:pt idx="20">
                  <c:v>-0.78951614730655717</c:v>
                </c:pt>
                <c:pt idx="21">
                  <c:v>-0.31043474829567014</c:v>
                </c:pt>
                <c:pt idx="22">
                  <c:v>-0.25501589544205172</c:v>
                </c:pt>
                <c:pt idx="23">
                  <c:v>-6.6883473912662597E-2</c:v>
                </c:pt>
                <c:pt idx="24">
                  <c:v>6.169798731349637E-2</c:v>
                </c:pt>
                <c:pt idx="25">
                  <c:v>0.13631898655060556</c:v>
                </c:pt>
                <c:pt idx="26">
                  <c:v>2.013384767328244E-2</c:v>
                </c:pt>
                <c:pt idx="27">
                  <c:v>0.39080819241788017</c:v>
                </c:pt>
                <c:pt idx="28">
                  <c:v>8.8192088019831291E-2</c:v>
                </c:pt>
                <c:pt idx="29">
                  <c:v>-1.07354256267592E-2</c:v>
                </c:pt>
                <c:pt idx="30">
                  <c:v>2.0133847673282267E-2</c:v>
                </c:pt>
                <c:pt idx="31">
                  <c:v>1.4786414503196293E-2</c:v>
                </c:pt>
                <c:pt idx="32">
                  <c:v>0.16281308725694099</c:v>
                </c:pt>
                <c:pt idx="33">
                  <c:v>6.5221996039723932E-3</c:v>
                </c:pt>
                <c:pt idx="34">
                  <c:v>5.6350554143410399E-2</c:v>
                </c:pt>
                <c:pt idx="35">
                  <c:v>-0.15608838179546092</c:v>
                </c:pt>
                <c:pt idx="36">
                  <c:v>0.16986197643569054</c:v>
                </c:pt>
                <c:pt idx="37">
                  <c:v>9.353952118991761E-2</c:v>
                </c:pt>
                <c:pt idx="38">
                  <c:v>6.6559290195392459E-2</c:v>
                </c:pt>
                <c:pt idx="39">
                  <c:v>-0.29050340647989503</c:v>
                </c:pt>
                <c:pt idx="40">
                  <c:v>4.1523580353626501E-2</c:v>
                </c:pt>
                <c:pt idx="41">
                  <c:v>8.2115459417460832E-2</c:v>
                </c:pt>
                <c:pt idx="42">
                  <c:v>-0.16532485727106355</c:v>
                </c:pt>
                <c:pt idx="43">
                  <c:v>0.19781446800659441</c:v>
                </c:pt>
                <c:pt idx="44">
                  <c:v>3.9335994056773058E-2</c:v>
                </c:pt>
                <c:pt idx="45">
                  <c:v>6.7774615915866823E-2</c:v>
                </c:pt>
                <c:pt idx="46">
                  <c:v>0.17934151705538812</c:v>
                </c:pt>
                <c:pt idx="47">
                  <c:v>-6.6033181771475956E-3</c:v>
                </c:pt>
                <c:pt idx="48">
                  <c:v>0.15138902548448421</c:v>
                </c:pt>
                <c:pt idx="49">
                  <c:v>0.22382243842474014</c:v>
                </c:pt>
                <c:pt idx="50">
                  <c:v>0.17788312619081947</c:v>
                </c:pt>
                <c:pt idx="51">
                  <c:v>-0.25696041659481023</c:v>
                </c:pt>
                <c:pt idx="52">
                  <c:v>-0.17699198418761528</c:v>
                </c:pt>
                <c:pt idx="53">
                  <c:v>1.2112697918153652E-2</c:v>
                </c:pt>
                <c:pt idx="54">
                  <c:v>-0.16410953155058988</c:v>
                </c:pt>
                <c:pt idx="55">
                  <c:v>-0.23727213992312993</c:v>
                </c:pt>
                <c:pt idx="56">
                  <c:v>0.34948711792176085</c:v>
                </c:pt>
                <c:pt idx="57">
                  <c:v>0.177153930758535</c:v>
                </c:pt>
                <c:pt idx="58">
                  <c:v>-3.4312744603956884E-2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1FCF-814F-832D-762E73FE15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02049664"/>
        <c:axId val="1701462015"/>
      </c:scatterChart>
      <c:valAx>
        <c:axId val="70204966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X Variable 1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701462015"/>
        <c:crosses val="autoZero"/>
        <c:crossBetween val="midCat"/>
      </c:valAx>
      <c:valAx>
        <c:axId val="1701462015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Y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702049664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GB"/>
              <a:t>X Variable 1 Line Fit 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Y</c:v>
          </c:tx>
          <c:spPr>
            <a:ln w="38100">
              <a:noFill/>
            </a:ln>
          </c:spPr>
          <c:xVal>
            <c:numRef>
              <c:f>'Monthly Changes &amp; Correlations'!$U$9:$U$67</c:f>
              <c:numCache>
                <c:formatCode>General</c:formatCode>
                <c:ptCount val="59"/>
                <c:pt idx="0">
                  <c:v>9.9999999999999867E-2</c:v>
                </c:pt>
                <c:pt idx="1">
                  <c:v>9.000000000000008E-2</c:v>
                </c:pt>
                <c:pt idx="2">
                  <c:v>2.6000000000000023E-2</c:v>
                </c:pt>
                <c:pt idx="3">
                  <c:v>-5.0000000000001155E-3</c:v>
                </c:pt>
                <c:pt idx="4">
                  <c:v>0.13100000000000023</c:v>
                </c:pt>
                <c:pt idx="5">
                  <c:v>7.2000000000000064E-2</c:v>
                </c:pt>
                <c:pt idx="6">
                  <c:v>-5.8000000000000274E-2</c:v>
                </c:pt>
                <c:pt idx="7">
                  <c:v>0.16199999999999992</c:v>
                </c:pt>
                <c:pt idx="8">
                  <c:v>0.30699999999999994</c:v>
                </c:pt>
                <c:pt idx="9">
                  <c:v>-6.9999999999996732E-3</c:v>
                </c:pt>
                <c:pt idx="10">
                  <c:v>0.14900000000000002</c:v>
                </c:pt>
                <c:pt idx="11">
                  <c:v>-0.125</c:v>
                </c:pt>
                <c:pt idx="12">
                  <c:v>0.28299999999999992</c:v>
                </c:pt>
                <c:pt idx="13">
                  <c:v>0.2719999999999998</c:v>
                </c:pt>
                <c:pt idx="14">
                  <c:v>0.11699999999999999</c:v>
                </c:pt>
                <c:pt idx="15">
                  <c:v>0.45199999999999996</c:v>
                </c:pt>
                <c:pt idx="16">
                  <c:v>0.24300000000000033</c:v>
                </c:pt>
                <c:pt idx="17">
                  <c:v>-0.45500000000000007</c:v>
                </c:pt>
                <c:pt idx="18">
                  <c:v>-0.28500000000000014</c:v>
                </c:pt>
                <c:pt idx="19">
                  <c:v>-0.29899999999999993</c:v>
                </c:pt>
                <c:pt idx="20">
                  <c:v>-0.76600000000000001</c:v>
                </c:pt>
                <c:pt idx="21">
                  <c:v>-0.38900000000000001</c:v>
                </c:pt>
                <c:pt idx="22">
                  <c:v>-0.3819999999999999</c:v>
                </c:pt>
                <c:pt idx="23">
                  <c:v>0.123</c:v>
                </c:pt>
                <c:pt idx="24">
                  <c:v>-0.16600000000000015</c:v>
                </c:pt>
                <c:pt idx="25">
                  <c:v>6.5000000000000169E-2</c:v>
                </c:pt>
                <c:pt idx="26">
                  <c:v>-3.7000000000000144E-2</c:v>
                </c:pt>
                <c:pt idx="27">
                  <c:v>0.33699999999999997</c:v>
                </c:pt>
                <c:pt idx="28">
                  <c:v>7.9000000000000181E-2</c:v>
                </c:pt>
                <c:pt idx="29">
                  <c:v>7.7999999999999847E-2</c:v>
                </c:pt>
                <c:pt idx="30">
                  <c:v>-2.0000000000000018E-2</c:v>
                </c:pt>
                <c:pt idx="31">
                  <c:v>3.2000000000000028E-2</c:v>
                </c:pt>
                <c:pt idx="32">
                  <c:v>0.16000000000000014</c:v>
                </c:pt>
                <c:pt idx="33">
                  <c:v>1.8999999999999906E-2</c:v>
                </c:pt>
                <c:pt idx="34">
                  <c:v>0.125</c:v>
                </c:pt>
                <c:pt idx="35">
                  <c:v>-0.21500000000000008</c:v>
                </c:pt>
                <c:pt idx="36">
                  <c:v>0.12600000000000011</c:v>
                </c:pt>
                <c:pt idx="37">
                  <c:v>0.1419999999999999</c:v>
                </c:pt>
                <c:pt idx="38">
                  <c:v>0.1030000000000002</c:v>
                </c:pt>
                <c:pt idx="39">
                  <c:v>-0.25900000000000034</c:v>
                </c:pt>
                <c:pt idx="40">
                  <c:v>-3.0999999999999694E-2</c:v>
                </c:pt>
                <c:pt idx="41">
                  <c:v>6.2999999999999723E-2</c:v>
                </c:pt>
                <c:pt idx="42">
                  <c:v>-7.1999999999999842E-2</c:v>
                </c:pt>
                <c:pt idx="43">
                  <c:v>0.27299999999999991</c:v>
                </c:pt>
                <c:pt idx="44">
                  <c:v>-2.8000000000000025E-2</c:v>
                </c:pt>
                <c:pt idx="45">
                  <c:v>7.6999999999999957E-2</c:v>
                </c:pt>
                <c:pt idx="46">
                  <c:v>0.25800000000000001</c:v>
                </c:pt>
                <c:pt idx="47">
                  <c:v>0.17700000000000005</c:v>
                </c:pt>
                <c:pt idx="48">
                  <c:v>0.20500000000000007</c:v>
                </c:pt>
                <c:pt idx="49">
                  <c:v>0.16999999999999993</c:v>
                </c:pt>
                <c:pt idx="50">
                  <c:v>0.16500000000000004</c:v>
                </c:pt>
                <c:pt idx="51">
                  <c:v>-0.21399999999999997</c:v>
                </c:pt>
                <c:pt idx="52">
                  <c:v>-0.11299999999999999</c:v>
                </c:pt>
                <c:pt idx="53">
                  <c:v>0.14999999999999991</c:v>
                </c:pt>
                <c:pt idx="54">
                  <c:v>-1.7999999999999794E-2</c:v>
                </c:pt>
                <c:pt idx="55">
                  <c:v>-0.28699999999999992</c:v>
                </c:pt>
                <c:pt idx="56">
                  <c:v>0.2589999999999999</c:v>
                </c:pt>
                <c:pt idx="57">
                  <c:v>-2.8000000000000025E-2</c:v>
                </c:pt>
                <c:pt idx="58">
                  <c:v>-9.5000000000000195E-2</c:v>
                </c:pt>
              </c:numCache>
            </c:numRef>
          </c:xVal>
          <c:yVal>
            <c:numRef>
              <c:f>'Monthly Changes &amp; Correlations'!$R$9:$R$67</c:f>
              <c:numCache>
                <c:formatCode>General</c:formatCode>
                <c:ptCount val="59"/>
                <c:pt idx="0">
                  <c:v>9.4000000000000083E-2</c:v>
                </c:pt>
                <c:pt idx="1">
                  <c:v>0.16399999999999992</c:v>
                </c:pt>
                <c:pt idx="2">
                  <c:v>3.2000000000000028E-2</c:v>
                </c:pt>
                <c:pt idx="3">
                  <c:v>-4.9999999999998934E-3</c:v>
                </c:pt>
                <c:pt idx="4">
                  <c:v>4.5999999999999819E-2</c:v>
                </c:pt>
                <c:pt idx="5">
                  <c:v>0.1080000000000001</c:v>
                </c:pt>
                <c:pt idx="6">
                  <c:v>-6.3000000000000167E-2</c:v>
                </c:pt>
                <c:pt idx="7">
                  <c:v>0.15300000000000002</c:v>
                </c:pt>
                <c:pt idx="8">
                  <c:v>0.30400000000000027</c:v>
                </c:pt>
                <c:pt idx="9">
                  <c:v>-2.4000000000000021E-2</c:v>
                </c:pt>
                <c:pt idx="10">
                  <c:v>0.10499999999999998</c:v>
                </c:pt>
                <c:pt idx="11">
                  <c:v>-0.10099999999999998</c:v>
                </c:pt>
                <c:pt idx="12">
                  <c:v>0.34299999999999997</c:v>
                </c:pt>
                <c:pt idx="13">
                  <c:v>0.14599999999999991</c:v>
                </c:pt>
                <c:pt idx="14">
                  <c:v>0.26800000000000024</c:v>
                </c:pt>
                <c:pt idx="15">
                  <c:v>0.40700000000000003</c:v>
                </c:pt>
                <c:pt idx="16">
                  <c:v>0.28399999999999936</c:v>
                </c:pt>
                <c:pt idx="17">
                  <c:v>-0.46599999999999975</c:v>
                </c:pt>
                <c:pt idx="18">
                  <c:v>-0.25800000000000001</c:v>
                </c:pt>
                <c:pt idx="19">
                  <c:v>-0.27400000000000002</c:v>
                </c:pt>
                <c:pt idx="20">
                  <c:v>-0.92799999999999994</c:v>
                </c:pt>
                <c:pt idx="21">
                  <c:v>-0.33399999999999985</c:v>
                </c:pt>
                <c:pt idx="22">
                  <c:v>-0.43999999999999995</c:v>
                </c:pt>
                <c:pt idx="23">
                  <c:v>9.5999999999999863E-2</c:v>
                </c:pt>
                <c:pt idx="24">
                  <c:v>-0.15100000000000002</c:v>
                </c:pt>
                <c:pt idx="25">
                  <c:v>7.6000000000000068E-2</c:v>
                </c:pt>
                <c:pt idx="26">
                  <c:v>-4.6999999999999931E-2</c:v>
                </c:pt>
                <c:pt idx="27">
                  <c:v>0.37799999999999989</c:v>
                </c:pt>
                <c:pt idx="28">
                  <c:v>0.1160000000000001</c:v>
                </c:pt>
                <c:pt idx="29">
                  <c:v>4.2999999999999927E-2</c:v>
                </c:pt>
                <c:pt idx="30">
                  <c:v>-5.0000000000000044E-2</c:v>
                </c:pt>
                <c:pt idx="31">
                  <c:v>1.3000000000000123E-2</c:v>
                </c:pt>
                <c:pt idx="32">
                  <c:v>0.18199999999999994</c:v>
                </c:pt>
                <c:pt idx="33">
                  <c:v>2.8000000000000025E-2</c:v>
                </c:pt>
                <c:pt idx="34">
                  <c:v>8.4000000000000075E-2</c:v>
                </c:pt>
                <c:pt idx="35">
                  <c:v>-0.17800000000000016</c:v>
                </c:pt>
                <c:pt idx="36">
                  <c:v>0.14500000000000024</c:v>
                </c:pt>
                <c:pt idx="37">
                  <c:v>0.13300000000000001</c:v>
                </c:pt>
                <c:pt idx="38">
                  <c:v>0.13599999999999968</c:v>
                </c:pt>
                <c:pt idx="39">
                  <c:v>-0.2849999999999997</c:v>
                </c:pt>
                <c:pt idx="40">
                  <c:v>-4.6000000000000041E-2</c:v>
                </c:pt>
                <c:pt idx="41">
                  <c:v>9.9999999999999867E-2</c:v>
                </c:pt>
                <c:pt idx="42">
                  <c:v>-8.3000000000000185E-2</c:v>
                </c:pt>
                <c:pt idx="43">
                  <c:v>0.22900000000000009</c:v>
                </c:pt>
                <c:pt idx="44">
                  <c:v>1.4000000000000234E-2</c:v>
                </c:pt>
                <c:pt idx="45">
                  <c:v>3.7999999999999812E-2</c:v>
                </c:pt>
                <c:pt idx="46">
                  <c:v>0.2370000000000001</c:v>
                </c:pt>
                <c:pt idx="47">
                  <c:v>0.21399999999999997</c:v>
                </c:pt>
                <c:pt idx="48">
                  <c:v>0.25600000000000023</c:v>
                </c:pt>
                <c:pt idx="49">
                  <c:v>0.16299999999999981</c:v>
                </c:pt>
                <c:pt idx="50">
                  <c:v>0.20699999999999985</c:v>
                </c:pt>
                <c:pt idx="51">
                  <c:v>-0.23399999999999999</c:v>
                </c:pt>
                <c:pt idx="52">
                  <c:v>-0.1379999999999999</c:v>
                </c:pt>
                <c:pt idx="53">
                  <c:v>0.16500000000000004</c:v>
                </c:pt>
                <c:pt idx="54">
                  <c:v>-4.8000000000000043E-2</c:v>
                </c:pt>
                <c:pt idx="55">
                  <c:v>-0.26900000000000013</c:v>
                </c:pt>
                <c:pt idx="56">
                  <c:v>0.18400000000000016</c:v>
                </c:pt>
                <c:pt idx="57">
                  <c:v>-2.7000000000000135E-2</c:v>
                </c:pt>
                <c:pt idx="58">
                  <c:v>-8.4000000000000075E-2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B0B9-5D41-B580-5B5054402180}"/>
            </c:ext>
          </c:extLst>
        </c:ser>
        <c:ser>
          <c:idx val="1"/>
          <c:order val="1"/>
          <c:tx>
            <c:v>Predicted Y</c:v>
          </c:tx>
          <c:spPr>
            <a:ln w="38100">
              <a:noFill/>
            </a:ln>
          </c:spPr>
          <c:xVal>
            <c:numRef>
              <c:f>'Monthly Changes &amp; Correlations'!$U$9:$U$67</c:f>
              <c:numCache>
                <c:formatCode>General</c:formatCode>
                <c:ptCount val="59"/>
                <c:pt idx="0">
                  <c:v>9.9999999999999867E-2</c:v>
                </c:pt>
                <c:pt idx="1">
                  <c:v>9.000000000000008E-2</c:v>
                </c:pt>
                <c:pt idx="2">
                  <c:v>2.6000000000000023E-2</c:v>
                </c:pt>
                <c:pt idx="3">
                  <c:v>-5.0000000000001155E-3</c:v>
                </c:pt>
                <c:pt idx="4">
                  <c:v>0.13100000000000023</c:v>
                </c:pt>
                <c:pt idx="5">
                  <c:v>7.2000000000000064E-2</c:v>
                </c:pt>
                <c:pt idx="6">
                  <c:v>-5.8000000000000274E-2</c:v>
                </c:pt>
                <c:pt idx="7">
                  <c:v>0.16199999999999992</c:v>
                </c:pt>
                <c:pt idx="8">
                  <c:v>0.30699999999999994</c:v>
                </c:pt>
                <c:pt idx="9">
                  <c:v>-6.9999999999996732E-3</c:v>
                </c:pt>
                <c:pt idx="10">
                  <c:v>0.14900000000000002</c:v>
                </c:pt>
                <c:pt idx="11">
                  <c:v>-0.125</c:v>
                </c:pt>
                <c:pt idx="12">
                  <c:v>0.28299999999999992</c:v>
                </c:pt>
                <c:pt idx="13">
                  <c:v>0.2719999999999998</c:v>
                </c:pt>
                <c:pt idx="14">
                  <c:v>0.11699999999999999</c:v>
                </c:pt>
                <c:pt idx="15">
                  <c:v>0.45199999999999996</c:v>
                </c:pt>
                <c:pt idx="16">
                  <c:v>0.24300000000000033</c:v>
                </c:pt>
                <c:pt idx="17">
                  <c:v>-0.45500000000000007</c:v>
                </c:pt>
                <c:pt idx="18">
                  <c:v>-0.28500000000000014</c:v>
                </c:pt>
                <c:pt idx="19">
                  <c:v>-0.29899999999999993</c:v>
                </c:pt>
                <c:pt idx="20">
                  <c:v>-0.76600000000000001</c:v>
                </c:pt>
                <c:pt idx="21">
                  <c:v>-0.38900000000000001</c:v>
                </c:pt>
                <c:pt idx="22">
                  <c:v>-0.3819999999999999</c:v>
                </c:pt>
                <c:pt idx="23">
                  <c:v>0.123</c:v>
                </c:pt>
                <c:pt idx="24">
                  <c:v>-0.16600000000000015</c:v>
                </c:pt>
                <c:pt idx="25">
                  <c:v>6.5000000000000169E-2</c:v>
                </c:pt>
                <c:pt idx="26">
                  <c:v>-3.7000000000000144E-2</c:v>
                </c:pt>
                <c:pt idx="27">
                  <c:v>0.33699999999999997</c:v>
                </c:pt>
                <c:pt idx="28">
                  <c:v>7.9000000000000181E-2</c:v>
                </c:pt>
                <c:pt idx="29">
                  <c:v>7.7999999999999847E-2</c:v>
                </c:pt>
                <c:pt idx="30">
                  <c:v>-2.0000000000000018E-2</c:v>
                </c:pt>
                <c:pt idx="31">
                  <c:v>3.2000000000000028E-2</c:v>
                </c:pt>
                <c:pt idx="32">
                  <c:v>0.16000000000000014</c:v>
                </c:pt>
                <c:pt idx="33">
                  <c:v>1.8999999999999906E-2</c:v>
                </c:pt>
                <c:pt idx="34">
                  <c:v>0.125</c:v>
                </c:pt>
                <c:pt idx="35">
                  <c:v>-0.21500000000000008</c:v>
                </c:pt>
                <c:pt idx="36">
                  <c:v>0.12600000000000011</c:v>
                </c:pt>
                <c:pt idx="37">
                  <c:v>0.1419999999999999</c:v>
                </c:pt>
                <c:pt idx="38">
                  <c:v>0.1030000000000002</c:v>
                </c:pt>
                <c:pt idx="39">
                  <c:v>-0.25900000000000034</c:v>
                </c:pt>
                <c:pt idx="40">
                  <c:v>-3.0999999999999694E-2</c:v>
                </c:pt>
                <c:pt idx="41">
                  <c:v>6.2999999999999723E-2</c:v>
                </c:pt>
                <c:pt idx="42">
                  <c:v>-7.1999999999999842E-2</c:v>
                </c:pt>
                <c:pt idx="43">
                  <c:v>0.27299999999999991</c:v>
                </c:pt>
                <c:pt idx="44">
                  <c:v>-2.8000000000000025E-2</c:v>
                </c:pt>
                <c:pt idx="45">
                  <c:v>7.6999999999999957E-2</c:v>
                </c:pt>
                <c:pt idx="46">
                  <c:v>0.25800000000000001</c:v>
                </c:pt>
                <c:pt idx="47">
                  <c:v>0.17700000000000005</c:v>
                </c:pt>
                <c:pt idx="48">
                  <c:v>0.20500000000000007</c:v>
                </c:pt>
                <c:pt idx="49">
                  <c:v>0.16999999999999993</c:v>
                </c:pt>
                <c:pt idx="50">
                  <c:v>0.16500000000000004</c:v>
                </c:pt>
                <c:pt idx="51">
                  <c:v>-0.21399999999999997</c:v>
                </c:pt>
                <c:pt idx="52">
                  <c:v>-0.11299999999999999</c:v>
                </c:pt>
                <c:pt idx="53">
                  <c:v>0.14999999999999991</c:v>
                </c:pt>
                <c:pt idx="54">
                  <c:v>-1.7999999999999794E-2</c:v>
                </c:pt>
                <c:pt idx="55">
                  <c:v>-0.28699999999999992</c:v>
                </c:pt>
                <c:pt idx="56">
                  <c:v>0.2589999999999999</c:v>
                </c:pt>
                <c:pt idx="57">
                  <c:v>-2.8000000000000025E-2</c:v>
                </c:pt>
                <c:pt idx="58">
                  <c:v>-9.5000000000000195E-2</c:v>
                </c:pt>
              </c:numCache>
            </c:numRef>
          </c:xVal>
          <c:yVal>
            <c:numRef>
              <c:f>'Regression - Heating Oil'!$B$25:$B$83</c:f>
              <c:numCache>
                <c:formatCode>General</c:formatCode>
                <c:ptCount val="59"/>
                <c:pt idx="0">
                  <c:v>0.10131467906852461</c:v>
                </c:pt>
                <c:pt idx="1">
                  <c:v>9.0981132616888977E-2</c:v>
                </c:pt>
                <c:pt idx="2">
                  <c:v>2.4846435326419489E-2</c:v>
                </c:pt>
                <c:pt idx="3">
                  <c:v>-7.1875586736517864E-3</c:v>
                </c:pt>
                <c:pt idx="4">
                  <c:v>0.1333486730685961</c:v>
                </c:pt>
                <c:pt idx="5">
                  <c:v>7.2380749003944436E-2</c:v>
                </c:pt>
                <c:pt idx="6">
                  <c:v>-6.1955354867321948E-2</c:v>
                </c:pt>
                <c:pt idx="7">
                  <c:v>0.16538266706866692</c:v>
                </c:pt>
                <c:pt idx="8">
                  <c:v>0.31521909061738673</c:v>
                </c:pt>
                <c:pt idx="9">
                  <c:v>-9.2542679639784995E-3</c:v>
                </c:pt>
                <c:pt idx="10">
                  <c:v>0.15194905668154043</c:v>
                </c:pt>
                <c:pt idx="11">
                  <c:v>-0.13119011609328185</c:v>
                </c:pt>
                <c:pt idx="12">
                  <c:v>0.2904185791334607</c:v>
                </c:pt>
                <c:pt idx="13">
                  <c:v>0.27905167803666114</c:v>
                </c:pt>
                <c:pt idx="14">
                  <c:v>0.11888170803630568</c:v>
                </c:pt>
                <c:pt idx="15">
                  <c:v>0.46505551416610658</c:v>
                </c:pt>
                <c:pt idx="16">
                  <c:v>0.24908439332691773</c:v>
                </c:pt>
                <c:pt idx="17">
                  <c:v>-0.47219714899726495</c:v>
                </c:pt>
                <c:pt idx="18">
                  <c:v>-0.2965268593194556</c:v>
                </c:pt>
                <c:pt idx="19">
                  <c:v>-0.31099382435174555</c:v>
                </c:pt>
                <c:pt idx="20">
                  <c:v>-0.79357044364313978</c:v>
                </c:pt>
                <c:pt idx="21">
                  <c:v>-0.4039957424164683</c:v>
                </c:pt>
                <c:pt idx="22">
                  <c:v>-0.39676225990032304</c:v>
                </c:pt>
                <c:pt idx="23">
                  <c:v>0.12508183590728719</c:v>
                </c:pt>
                <c:pt idx="24">
                  <c:v>-0.17355765654498898</c:v>
                </c:pt>
                <c:pt idx="25">
                  <c:v>6.5147266487799449E-2</c:v>
                </c:pt>
                <c:pt idx="26">
                  <c:v>-4.0254907318886535E-2</c:v>
                </c:pt>
                <c:pt idx="27">
                  <c:v>0.34621972997229433</c:v>
                </c:pt>
                <c:pt idx="28">
                  <c:v>7.9614231520089646E-2</c:v>
                </c:pt>
                <c:pt idx="29">
                  <c:v>7.8580876874925723E-2</c:v>
                </c:pt>
                <c:pt idx="30">
                  <c:v>-2.2687878351105459E-2</c:v>
                </c:pt>
                <c:pt idx="31">
                  <c:v>3.1046563197401001E-2</c:v>
                </c:pt>
                <c:pt idx="32">
                  <c:v>0.16331595777833999</c:v>
                </c:pt>
                <c:pt idx="33">
                  <c:v>1.7612952810274272E-2</c:v>
                </c:pt>
                <c:pt idx="34">
                  <c:v>0.12714854519761437</c:v>
                </c:pt>
                <c:pt idx="35">
                  <c:v>-0.22419203415800457</c:v>
                </c:pt>
                <c:pt idx="36">
                  <c:v>0.12818189984277806</c:v>
                </c:pt>
                <c:pt idx="37">
                  <c:v>0.14471557416539521</c:v>
                </c:pt>
                <c:pt idx="38">
                  <c:v>0.10441474300401571</c:v>
                </c:pt>
                <c:pt idx="39">
                  <c:v>-0.26965963854520258</c:v>
                </c:pt>
                <c:pt idx="40">
                  <c:v>-3.4054779447904561E-2</c:v>
                </c:pt>
                <c:pt idx="41">
                  <c:v>6.3080557197471812E-2</c:v>
                </c:pt>
                <c:pt idx="42">
                  <c:v>-7.6422319899611693E-2</c:v>
                </c:pt>
                <c:pt idx="43">
                  <c:v>0.28008503268182483</c:v>
                </c:pt>
                <c:pt idx="44">
                  <c:v>-3.0954715512414147E-2</c:v>
                </c:pt>
                <c:pt idx="45">
                  <c:v>7.7547522229762245E-2</c:v>
                </c:pt>
                <c:pt idx="46">
                  <c:v>0.26458471300437114</c:v>
                </c:pt>
                <c:pt idx="47">
                  <c:v>0.18088298674612083</c:v>
                </c:pt>
                <c:pt idx="48">
                  <c:v>0.20981691681070122</c:v>
                </c:pt>
                <c:pt idx="49">
                  <c:v>0.1736495042299756</c:v>
                </c:pt>
                <c:pt idx="50">
                  <c:v>0.16848273100415781</c:v>
                </c:pt>
                <c:pt idx="51">
                  <c:v>-0.22315867951284088</c:v>
                </c:pt>
                <c:pt idx="52">
                  <c:v>-0.11878986035131882</c:v>
                </c:pt>
                <c:pt idx="53">
                  <c:v>0.1529824113267039</c:v>
                </c:pt>
                <c:pt idx="54">
                  <c:v>-2.0621169060778058E-2</c:v>
                </c:pt>
                <c:pt idx="55">
                  <c:v>-0.29859356860978253</c:v>
                </c:pt>
                <c:pt idx="56">
                  <c:v>0.26561806764953466</c:v>
                </c:pt>
                <c:pt idx="57">
                  <c:v>-3.0954715512414147E-2</c:v>
                </c:pt>
                <c:pt idx="58">
                  <c:v>-0.10018947673837451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B0B9-5D41-B580-5B50544021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5668800"/>
        <c:axId val="505667456"/>
      </c:scatterChart>
      <c:valAx>
        <c:axId val="50566880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X Variable 1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5667456"/>
        <c:crosses val="autoZero"/>
        <c:crossBetween val="midCat"/>
      </c:valAx>
      <c:valAx>
        <c:axId val="50566745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Y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5668800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P &amp; L After WTI &amp; Brent Hedging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'P&amp;L Before vs. After Hedging'!$G$3</c:f>
              <c:strCache>
                <c:ptCount val="1"/>
                <c:pt idx="0">
                  <c:v>P&amp;L before hedge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'P&amp;L Before vs. After Hedging'!$G$4:$G$62</c:f>
              <c:numCache>
                <c:formatCode>General</c:formatCode>
                <c:ptCount val="59"/>
                <c:pt idx="0">
                  <c:v>1880000.0000000016</c:v>
                </c:pt>
                <c:pt idx="1">
                  <c:v>3279999.9999999986</c:v>
                </c:pt>
                <c:pt idx="2">
                  <c:v>640000.00000000058</c:v>
                </c:pt>
                <c:pt idx="3">
                  <c:v>99999.999999997875</c:v>
                </c:pt>
                <c:pt idx="4">
                  <c:v>919999.99999999639</c:v>
                </c:pt>
                <c:pt idx="5">
                  <c:v>2160000.0000000019</c:v>
                </c:pt>
                <c:pt idx="6">
                  <c:v>1260000.0000000033</c:v>
                </c:pt>
                <c:pt idx="7">
                  <c:v>3060000.0000000005</c:v>
                </c:pt>
                <c:pt idx="8">
                  <c:v>6080000.0000000056</c:v>
                </c:pt>
                <c:pt idx="9">
                  <c:v>480000.00000000041</c:v>
                </c:pt>
                <c:pt idx="10">
                  <c:v>2099999.9999999995</c:v>
                </c:pt>
                <c:pt idx="11">
                  <c:v>2019999.9999999995</c:v>
                </c:pt>
                <c:pt idx="12">
                  <c:v>6859999.9999999991</c:v>
                </c:pt>
                <c:pt idx="13">
                  <c:v>2919999.9999999981</c:v>
                </c:pt>
                <c:pt idx="14">
                  <c:v>5360000.0000000047</c:v>
                </c:pt>
                <c:pt idx="15">
                  <c:v>8140000.0000000009</c:v>
                </c:pt>
                <c:pt idx="16">
                  <c:v>5679999.999999987</c:v>
                </c:pt>
                <c:pt idx="17">
                  <c:v>9319999.9999999944</c:v>
                </c:pt>
                <c:pt idx="18">
                  <c:v>5160000</c:v>
                </c:pt>
                <c:pt idx="19">
                  <c:v>5480000</c:v>
                </c:pt>
                <c:pt idx="20">
                  <c:v>18560000</c:v>
                </c:pt>
                <c:pt idx="21">
                  <c:v>6679999.9999999972</c:v>
                </c:pt>
                <c:pt idx="22">
                  <c:v>8799999.9999999981</c:v>
                </c:pt>
                <c:pt idx="23">
                  <c:v>1919999.9999999972</c:v>
                </c:pt>
                <c:pt idx="24">
                  <c:v>3020000.0000000005</c:v>
                </c:pt>
                <c:pt idx="25">
                  <c:v>1520000.0000000014</c:v>
                </c:pt>
                <c:pt idx="26">
                  <c:v>939999.9999999986</c:v>
                </c:pt>
                <c:pt idx="27">
                  <c:v>7559999.9999999981</c:v>
                </c:pt>
                <c:pt idx="28">
                  <c:v>2320000.0000000019</c:v>
                </c:pt>
                <c:pt idx="29">
                  <c:v>859999.99999999849</c:v>
                </c:pt>
                <c:pt idx="30">
                  <c:v>1000000.0000000009</c:v>
                </c:pt>
                <c:pt idx="31">
                  <c:v>260000.00000000244</c:v>
                </c:pt>
                <c:pt idx="32">
                  <c:v>3639999.9999999986</c:v>
                </c:pt>
                <c:pt idx="33">
                  <c:v>560000.00000000047</c:v>
                </c:pt>
                <c:pt idx="34">
                  <c:v>1680000.0000000014</c:v>
                </c:pt>
                <c:pt idx="35">
                  <c:v>3560000.0000000033</c:v>
                </c:pt>
                <c:pt idx="36">
                  <c:v>2900000.0000000047</c:v>
                </c:pt>
                <c:pt idx="37">
                  <c:v>2660000</c:v>
                </c:pt>
                <c:pt idx="38">
                  <c:v>2719999.9999999935</c:v>
                </c:pt>
                <c:pt idx="39">
                  <c:v>5699999.9999999944</c:v>
                </c:pt>
                <c:pt idx="40">
                  <c:v>920000.00000000081</c:v>
                </c:pt>
                <c:pt idx="41">
                  <c:v>1999999.9999999974</c:v>
                </c:pt>
                <c:pt idx="42">
                  <c:v>1660000.0000000037</c:v>
                </c:pt>
                <c:pt idx="43">
                  <c:v>4580000.0000000019</c:v>
                </c:pt>
                <c:pt idx="44">
                  <c:v>280000.00000000471</c:v>
                </c:pt>
                <c:pt idx="45">
                  <c:v>759999.99999999627</c:v>
                </c:pt>
                <c:pt idx="46">
                  <c:v>4740000.0000000019</c:v>
                </c:pt>
                <c:pt idx="47">
                  <c:v>4279999.9999999991</c:v>
                </c:pt>
                <c:pt idx="48">
                  <c:v>5120000.0000000047</c:v>
                </c:pt>
                <c:pt idx="49">
                  <c:v>3259999.9999999963</c:v>
                </c:pt>
                <c:pt idx="50">
                  <c:v>4139999.9999999972</c:v>
                </c:pt>
                <c:pt idx="51">
                  <c:v>4680000</c:v>
                </c:pt>
                <c:pt idx="52">
                  <c:v>2759999.9999999981</c:v>
                </c:pt>
                <c:pt idx="53">
                  <c:v>3300000.0000000009</c:v>
                </c:pt>
                <c:pt idx="54">
                  <c:v>960000.00000000081</c:v>
                </c:pt>
                <c:pt idx="55">
                  <c:v>5380000.0000000028</c:v>
                </c:pt>
                <c:pt idx="56">
                  <c:v>3680000.0000000033</c:v>
                </c:pt>
                <c:pt idx="57">
                  <c:v>540000.00000000268</c:v>
                </c:pt>
                <c:pt idx="58">
                  <c:v>1680000.0000000014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37F-674A-8F93-FB023EAB8C5B}"/>
            </c:ext>
          </c:extLst>
        </c:ser>
        <c:ser>
          <c:idx val="1"/>
          <c:order val="1"/>
          <c:tx>
            <c:strRef>
              <c:f>'P&amp;L Before vs. After Hedging'!$J$3</c:f>
              <c:strCache>
                <c:ptCount val="1"/>
                <c:pt idx="0">
                  <c:v>P&amp;L after WTI hedge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'P&amp;L Before vs. After Hedging'!$J$4:$J$62</c:f>
              <c:numCache>
                <c:formatCode>General</c:formatCode>
                <c:ptCount val="59"/>
                <c:pt idx="0">
                  <c:v>60560.000000002095</c:v>
                </c:pt>
                <c:pt idx="1">
                  <c:v>1183360.0000000005</c:v>
                </c:pt>
                <c:pt idx="2">
                  <c:v>559360.00000000233</c:v>
                </c:pt>
                <c:pt idx="3">
                  <c:v>787040.00000000466</c:v>
                </c:pt>
                <c:pt idx="4">
                  <c:v>2330800.0000000051</c:v>
                </c:pt>
                <c:pt idx="5">
                  <c:v>1735920</c:v>
                </c:pt>
                <c:pt idx="6">
                  <c:v>866879.99999999581</c:v>
                </c:pt>
                <c:pt idx="7">
                  <c:v>800639.99999999814</c:v>
                </c:pt>
                <c:pt idx="8">
                  <c:v>230079.99999999255</c:v>
                </c:pt>
                <c:pt idx="9">
                  <c:v>2322240.0000000005</c:v>
                </c:pt>
                <c:pt idx="10">
                  <c:v>1604400.0000000047</c:v>
                </c:pt>
                <c:pt idx="11">
                  <c:v>137120.0000000014</c:v>
                </c:pt>
                <c:pt idx="12">
                  <c:v>1764559.9999999991</c:v>
                </c:pt>
                <c:pt idx="13">
                  <c:v>2799040.0000000009</c:v>
                </c:pt>
                <c:pt idx="14">
                  <c:v>768639.99999999348</c:v>
                </c:pt>
                <c:pt idx="15">
                  <c:v>1260400.0000000047</c:v>
                </c:pt>
                <c:pt idx="16">
                  <c:v>675440.00000002049</c:v>
                </c:pt>
                <c:pt idx="17">
                  <c:v>1361839.9999999916</c:v>
                </c:pt>
                <c:pt idx="18">
                  <c:v>815519.99999999814</c:v>
                </c:pt>
                <c:pt idx="19">
                  <c:v>2004399.9999999972</c:v>
                </c:pt>
                <c:pt idx="20">
                  <c:v>2129599.9999999944</c:v>
                </c:pt>
                <c:pt idx="21">
                  <c:v>183440</c:v>
                </c:pt>
                <c:pt idx="22">
                  <c:v>3452559.9999999981</c:v>
                </c:pt>
                <c:pt idx="23">
                  <c:v>473519.99999999488</c:v>
                </c:pt>
                <c:pt idx="24">
                  <c:v>1800319.9999999995</c:v>
                </c:pt>
                <c:pt idx="25">
                  <c:v>1246959.9999999995</c:v>
                </c:pt>
                <c:pt idx="26">
                  <c:v>582159.99999999814</c:v>
                </c:pt>
                <c:pt idx="27">
                  <c:v>483840.00000000186</c:v>
                </c:pt>
                <c:pt idx="28">
                  <c:v>550960.00000000652</c:v>
                </c:pt>
                <c:pt idx="29">
                  <c:v>577760.00000000454</c:v>
                </c:pt>
                <c:pt idx="30">
                  <c:v>642160.00000000407</c:v>
                </c:pt>
                <c:pt idx="31">
                  <c:v>13040.000000005006</c:v>
                </c:pt>
                <c:pt idx="32">
                  <c:v>323679.99999999208</c:v>
                </c:pt>
                <c:pt idx="33">
                  <c:v>484400.00000000477</c:v>
                </c:pt>
                <c:pt idx="34">
                  <c:v>571200</c:v>
                </c:pt>
                <c:pt idx="35">
                  <c:v>263839.99999999953</c:v>
                </c:pt>
                <c:pt idx="36">
                  <c:v>562479.99999999721</c:v>
                </c:pt>
                <c:pt idx="37">
                  <c:v>780079.9999999979</c:v>
                </c:pt>
                <c:pt idx="38">
                  <c:v>1399519.9999999984</c:v>
                </c:pt>
                <c:pt idx="39">
                  <c:v>383280.00000000186</c:v>
                </c:pt>
                <c:pt idx="40">
                  <c:v>118639.99999999907</c:v>
                </c:pt>
                <c:pt idx="41">
                  <c:v>356960.0000000021</c:v>
                </c:pt>
                <c:pt idx="42">
                  <c:v>1827679.9999999898</c:v>
                </c:pt>
                <c:pt idx="43">
                  <c:v>537920.00000000373</c:v>
                </c:pt>
                <c:pt idx="44">
                  <c:v>475999.99999999529</c:v>
                </c:pt>
                <c:pt idx="45">
                  <c:v>585680.00000000466</c:v>
                </c:pt>
                <c:pt idx="46">
                  <c:v>1080960.0000000065</c:v>
                </c:pt>
                <c:pt idx="47">
                  <c:v>4083439.9999999986</c:v>
                </c:pt>
                <c:pt idx="48">
                  <c:v>2040560.0000000051</c:v>
                </c:pt>
                <c:pt idx="49">
                  <c:v>1321360.0000000056</c:v>
                </c:pt>
                <c:pt idx="50">
                  <c:v>511199.99999999581</c:v>
                </c:pt>
                <c:pt idx="51">
                  <c:v>707759.99999999814</c:v>
                </c:pt>
                <c:pt idx="52">
                  <c:v>969600.00000000466</c:v>
                </c:pt>
                <c:pt idx="53">
                  <c:v>3108479.9999999963</c:v>
                </c:pt>
                <c:pt idx="54">
                  <c:v>2502480.0000000009</c:v>
                </c:pt>
                <c:pt idx="55">
                  <c:v>400480.00000000466</c:v>
                </c:pt>
                <c:pt idx="56">
                  <c:v>3507039.999999993</c:v>
                </c:pt>
                <c:pt idx="57">
                  <c:v>3073679.9999999981</c:v>
                </c:pt>
                <c:pt idx="58">
                  <c:v>908880.00000000081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37F-674A-8F93-FB023EAB8C5B}"/>
            </c:ext>
          </c:extLst>
        </c:ser>
        <c:ser>
          <c:idx val="2"/>
          <c:order val="2"/>
          <c:tx>
            <c:strRef>
              <c:f>'P&amp;L Before vs. After Hedging'!$K$3</c:f>
              <c:strCache>
                <c:ptCount val="1"/>
                <c:pt idx="0">
                  <c:v>P&amp;L after Brent hedge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'P&amp;L Before vs. After Hedging'!$K$4:$K$62</c:f>
              <c:numCache>
                <c:formatCode>General</c:formatCode>
                <c:ptCount val="59"/>
                <c:pt idx="0">
                  <c:v>433520.00000000279</c:v>
                </c:pt>
                <c:pt idx="1">
                  <c:v>1296320.0000000005</c:v>
                </c:pt>
                <c:pt idx="2">
                  <c:v>15040.000000003143</c:v>
                </c:pt>
                <c:pt idx="3">
                  <c:v>378800.00000000349</c:v>
                </c:pt>
                <c:pt idx="4">
                  <c:v>1116160</c:v>
                </c:pt>
                <c:pt idx="5">
                  <c:v>254160.0000000014</c:v>
                </c:pt>
                <c:pt idx="6">
                  <c:v>1118879.9999999958</c:v>
                </c:pt>
                <c:pt idx="7">
                  <c:v>1314719.9999999958</c:v>
                </c:pt>
                <c:pt idx="8">
                  <c:v>1594400.0000000028</c:v>
                </c:pt>
                <c:pt idx="9">
                  <c:v>104640.00000000495</c:v>
                </c:pt>
                <c:pt idx="10">
                  <c:v>404880.00000000698</c:v>
                </c:pt>
                <c:pt idx="11">
                  <c:v>961599.99999999511</c:v>
                </c:pt>
                <c:pt idx="12">
                  <c:v>2162719.9999999953</c:v>
                </c:pt>
                <c:pt idx="13">
                  <c:v>2199280.0000000019</c:v>
                </c:pt>
                <c:pt idx="14">
                  <c:v>929840.00000000093</c:v>
                </c:pt>
                <c:pt idx="15">
                  <c:v>291919.99999999348</c:v>
                </c:pt>
                <c:pt idx="16">
                  <c:v>362799.99999998137</c:v>
                </c:pt>
                <c:pt idx="17">
                  <c:v>2112799.9999999888</c:v>
                </c:pt>
                <c:pt idx="18">
                  <c:v>187440</c:v>
                </c:pt>
                <c:pt idx="19">
                  <c:v>4584880</c:v>
                </c:pt>
                <c:pt idx="20">
                  <c:v>1665920.0000000037</c:v>
                </c:pt>
                <c:pt idx="21">
                  <c:v>490879.99999999627</c:v>
                </c:pt>
                <c:pt idx="22">
                  <c:v>2802399.9999999991</c:v>
                </c:pt>
                <c:pt idx="23">
                  <c:v>2288400.0000000037</c:v>
                </c:pt>
                <c:pt idx="24">
                  <c:v>2899040.0000000033</c:v>
                </c:pt>
                <c:pt idx="25">
                  <c:v>653119.99999999837</c:v>
                </c:pt>
                <c:pt idx="26">
                  <c:v>1161679.9999999986</c:v>
                </c:pt>
                <c:pt idx="27">
                  <c:v>161279.99999999534</c:v>
                </c:pt>
                <c:pt idx="28">
                  <c:v>742480.00000000419</c:v>
                </c:pt>
                <c:pt idx="29">
                  <c:v>132880.00000000105</c:v>
                </c:pt>
                <c:pt idx="30">
                  <c:v>465759.99999999977</c:v>
                </c:pt>
                <c:pt idx="31">
                  <c:v>1352799.9999999991</c:v>
                </c:pt>
                <c:pt idx="32">
                  <c:v>941360.00000000326</c:v>
                </c:pt>
                <c:pt idx="33">
                  <c:v>881439.99999999907</c:v>
                </c:pt>
                <c:pt idx="34">
                  <c:v>1609440.0000000012</c:v>
                </c:pt>
                <c:pt idx="35">
                  <c:v>178160.00000000698</c:v>
                </c:pt>
                <c:pt idx="36">
                  <c:v>299360.00000000652</c:v>
                </c:pt>
                <c:pt idx="37">
                  <c:v>638959.99999999767</c:v>
                </c:pt>
                <c:pt idx="38">
                  <c:v>213280.00000000279</c:v>
                </c:pt>
                <c:pt idx="39">
                  <c:v>947760.00000000373</c:v>
                </c:pt>
                <c:pt idx="40">
                  <c:v>57759.999999998021</c:v>
                </c:pt>
                <c:pt idx="41">
                  <c:v>709759.99999999627</c:v>
                </c:pt>
                <c:pt idx="42">
                  <c:v>657040.00000000629</c:v>
                </c:pt>
                <c:pt idx="43">
                  <c:v>1928960.0000000065</c:v>
                </c:pt>
                <c:pt idx="44">
                  <c:v>576799.99999999674</c:v>
                </c:pt>
                <c:pt idx="45">
                  <c:v>1029200.0000000023</c:v>
                </c:pt>
                <c:pt idx="46">
                  <c:v>1106159.9999999977</c:v>
                </c:pt>
                <c:pt idx="47">
                  <c:v>1387040.0000000014</c:v>
                </c:pt>
                <c:pt idx="48">
                  <c:v>1583199.9999999935</c:v>
                </c:pt>
                <c:pt idx="49">
                  <c:v>906319.99999999534</c:v>
                </c:pt>
                <c:pt idx="50">
                  <c:v>723600.00000000559</c:v>
                </c:pt>
                <c:pt idx="51">
                  <c:v>62639.999999998137</c:v>
                </c:pt>
                <c:pt idx="52">
                  <c:v>3119.9999999916181</c:v>
                </c:pt>
                <c:pt idx="53">
                  <c:v>1173119.9999999944</c:v>
                </c:pt>
                <c:pt idx="54">
                  <c:v>682800.00000000233</c:v>
                </c:pt>
                <c:pt idx="55">
                  <c:v>194239.99999999907</c:v>
                </c:pt>
                <c:pt idx="56">
                  <c:v>2162960.0000000009</c:v>
                </c:pt>
                <c:pt idx="57">
                  <c:v>866159.99999999336</c:v>
                </c:pt>
                <c:pt idx="58">
                  <c:v>102480.00000000373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37F-674A-8F93-FB023EAB8C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49536"/>
        <c:axId val="450880"/>
      </c:lineChart>
      <c:catAx>
        <c:axId val="4495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0880"/>
        <c:crosses val="autoZero"/>
        <c:auto val="1"/>
        <c:lblAlgn val="ctr"/>
        <c:lblOffset val="100"/>
        <c:noMultiLvlLbl val="0"/>
      </c:catAx>
      <c:valAx>
        <c:axId val="4508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95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P &amp; L After WTI &amp; Brent Hedging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'P&amp;L Before vs. After Hedging'!$G$3</c:f>
              <c:strCache>
                <c:ptCount val="1"/>
                <c:pt idx="0">
                  <c:v>P&amp;L before hedge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'P&amp;L Before vs. After Hedging'!$G$4:$G$62</c:f>
              <c:numCache>
                <c:formatCode>General</c:formatCode>
                <c:ptCount val="59"/>
                <c:pt idx="0">
                  <c:v>1880000.0000000016</c:v>
                </c:pt>
                <c:pt idx="1">
                  <c:v>3279999.9999999986</c:v>
                </c:pt>
                <c:pt idx="2">
                  <c:v>640000.00000000058</c:v>
                </c:pt>
                <c:pt idx="3">
                  <c:v>99999.999999997875</c:v>
                </c:pt>
                <c:pt idx="4">
                  <c:v>919999.99999999639</c:v>
                </c:pt>
                <c:pt idx="5">
                  <c:v>2160000.0000000019</c:v>
                </c:pt>
                <c:pt idx="6">
                  <c:v>1260000.0000000033</c:v>
                </c:pt>
                <c:pt idx="7">
                  <c:v>3060000.0000000005</c:v>
                </c:pt>
                <c:pt idx="8">
                  <c:v>6080000.0000000056</c:v>
                </c:pt>
                <c:pt idx="9">
                  <c:v>480000.00000000041</c:v>
                </c:pt>
                <c:pt idx="10">
                  <c:v>2099999.9999999995</c:v>
                </c:pt>
                <c:pt idx="11">
                  <c:v>2019999.9999999995</c:v>
                </c:pt>
                <c:pt idx="12">
                  <c:v>6859999.9999999991</c:v>
                </c:pt>
                <c:pt idx="13">
                  <c:v>2919999.9999999981</c:v>
                </c:pt>
                <c:pt idx="14">
                  <c:v>5360000.0000000047</c:v>
                </c:pt>
                <c:pt idx="15">
                  <c:v>8140000.0000000009</c:v>
                </c:pt>
                <c:pt idx="16">
                  <c:v>5679999.999999987</c:v>
                </c:pt>
                <c:pt idx="17">
                  <c:v>9319999.9999999944</c:v>
                </c:pt>
                <c:pt idx="18">
                  <c:v>5160000</c:v>
                </c:pt>
                <c:pt idx="19">
                  <c:v>5480000</c:v>
                </c:pt>
                <c:pt idx="20">
                  <c:v>18560000</c:v>
                </c:pt>
                <c:pt idx="21">
                  <c:v>6679999.9999999972</c:v>
                </c:pt>
                <c:pt idx="22">
                  <c:v>8799999.9999999981</c:v>
                </c:pt>
                <c:pt idx="23">
                  <c:v>1919999.9999999972</c:v>
                </c:pt>
                <c:pt idx="24">
                  <c:v>3020000.0000000005</c:v>
                </c:pt>
                <c:pt idx="25">
                  <c:v>1520000.0000000014</c:v>
                </c:pt>
                <c:pt idx="26">
                  <c:v>939999.9999999986</c:v>
                </c:pt>
                <c:pt idx="27">
                  <c:v>7559999.9999999981</c:v>
                </c:pt>
                <c:pt idx="28">
                  <c:v>2320000.0000000019</c:v>
                </c:pt>
                <c:pt idx="29">
                  <c:v>859999.99999999849</c:v>
                </c:pt>
                <c:pt idx="30">
                  <c:v>1000000.0000000009</c:v>
                </c:pt>
                <c:pt idx="31">
                  <c:v>260000.00000000244</c:v>
                </c:pt>
                <c:pt idx="32">
                  <c:v>3639999.9999999986</c:v>
                </c:pt>
                <c:pt idx="33">
                  <c:v>560000.00000000047</c:v>
                </c:pt>
                <c:pt idx="34">
                  <c:v>1680000.0000000014</c:v>
                </c:pt>
                <c:pt idx="35">
                  <c:v>3560000.0000000033</c:v>
                </c:pt>
                <c:pt idx="36">
                  <c:v>2900000.0000000047</c:v>
                </c:pt>
                <c:pt idx="37">
                  <c:v>2660000</c:v>
                </c:pt>
                <c:pt idx="38">
                  <c:v>2719999.9999999935</c:v>
                </c:pt>
                <c:pt idx="39">
                  <c:v>5699999.9999999944</c:v>
                </c:pt>
                <c:pt idx="40">
                  <c:v>920000.00000000081</c:v>
                </c:pt>
                <c:pt idx="41">
                  <c:v>1999999.9999999974</c:v>
                </c:pt>
                <c:pt idx="42">
                  <c:v>1660000.0000000037</c:v>
                </c:pt>
                <c:pt idx="43">
                  <c:v>4580000.0000000019</c:v>
                </c:pt>
                <c:pt idx="44">
                  <c:v>280000.00000000471</c:v>
                </c:pt>
                <c:pt idx="45">
                  <c:v>759999.99999999627</c:v>
                </c:pt>
                <c:pt idx="46">
                  <c:v>4740000.0000000019</c:v>
                </c:pt>
                <c:pt idx="47">
                  <c:v>4279999.9999999991</c:v>
                </c:pt>
                <c:pt idx="48">
                  <c:v>5120000.0000000047</c:v>
                </c:pt>
                <c:pt idx="49">
                  <c:v>3259999.9999999963</c:v>
                </c:pt>
                <c:pt idx="50">
                  <c:v>4139999.9999999972</c:v>
                </c:pt>
                <c:pt idx="51">
                  <c:v>4680000</c:v>
                </c:pt>
                <c:pt idx="52">
                  <c:v>2759999.9999999981</c:v>
                </c:pt>
                <c:pt idx="53">
                  <c:v>3300000.0000000009</c:v>
                </c:pt>
                <c:pt idx="54">
                  <c:v>960000.00000000081</c:v>
                </c:pt>
                <c:pt idx="55">
                  <c:v>5380000.0000000028</c:v>
                </c:pt>
                <c:pt idx="56">
                  <c:v>3680000.0000000033</c:v>
                </c:pt>
                <c:pt idx="57">
                  <c:v>540000.00000000268</c:v>
                </c:pt>
                <c:pt idx="58">
                  <c:v>1680000.0000000014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A0E-8645-9408-325B2276F319}"/>
            </c:ext>
          </c:extLst>
        </c:ser>
        <c:ser>
          <c:idx val="1"/>
          <c:order val="1"/>
          <c:tx>
            <c:strRef>
              <c:f>'P&amp;L Before vs. After Hedging'!$J$3</c:f>
              <c:strCache>
                <c:ptCount val="1"/>
                <c:pt idx="0">
                  <c:v>P&amp;L after WTI hedge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'P&amp;L Before vs. After Hedging'!$J$4:$J$62</c:f>
              <c:numCache>
                <c:formatCode>General</c:formatCode>
                <c:ptCount val="59"/>
                <c:pt idx="0">
                  <c:v>60560.000000002095</c:v>
                </c:pt>
                <c:pt idx="1">
                  <c:v>1183360.0000000005</c:v>
                </c:pt>
                <c:pt idx="2">
                  <c:v>559360.00000000233</c:v>
                </c:pt>
                <c:pt idx="3">
                  <c:v>787040.00000000466</c:v>
                </c:pt>
                <c:pt idx="4">
                  <c:v>2330800.0000000051</c:v>
                </c:pt>
                <c:pt idx="5">
                  <c:v>1735920</c:v>
                </c:pt>
                <c:pt idx="6">
                  <c:v>866879.99999999581</c:v>
                </c:pt>
                <c:pt idx="7">
                  <c:v>800639.99999999814</c:v>
                </c:pt>
                <c:pt idx="8">
                  <c:v>230079.99999999255</c:v>
                </c:pt>
                <c:pt idx="9">
                  <c:v>2322240.0000000005</c:v>
                </c:pt>
                <c:pt idx="10">
                  <c:v>1604400.0000000047</c:v>
                </c:pt>
                <c:pt idx="11">
                  <c:v>137120.0000000014</c:v>
                </c:pt>
                <c:pt idx="12">
                  <c:v>1764559.9999999991</c:v>
                </c:pt>
                <c:pt idx="13">
                  <c:v>2799040.0000000009</c:v>
                </c:pt>
                <c:pt idx="14">
                  <c:v>768639.99999999348</c:v>
                </c:pt>
                <c:pt idx="15">
                  <c:v>1260400.0000000047</c:v>
                </c:pt>
                <c:pt idx="16">
                  <c:v>675440.00000002049</c:v>
                </c:pt>
                <c:pt idx="17">
                  <c:v>1361839.9999999916</c:v>
                </c:pt>
                <c:pt idx="18">
                  <c:v>815519.99999999814</c:v>
                </c:pt>
                <c:pt idx="19">
                  <c:v>2004399.9999999972</c:v>
                </c:pt>
                <c:pt idx="20">
                  <c:v>2129599.9999999944</c:v>
                </c:pt>
                <c:pt idx="21">
                  <c:v>183440</c:v>
                </c:pt>
                <c:pt idx="22">
                  <c:v>3452559.9999999981</c:v>
                </c:pt>
                <c:pt idx="23">
                  <c:v>473519.99999999488</c:v>
                </c:pt>
                <c:pt idx="24">
                  <c:v>1800319.9999999995</c:v>
                </c:pt>
                <c:pt idx="25">
                  <c:v>1246959.9999999995</c:v>
                </c:pt>
                <c:pt idx="26">
                  <c:v>582159.99999999814</c:v>
                </c:pt>
                <c:pt idx="27">
                  <c:v>483840.00000000186</c:v>
                </c:pt>
                <c:pt idx="28">
                  <c:v>550960.00000000652</c:v>
                </c:pt>
                <c:pt idx="29">
                  <c:v>577760.00000000454</c:v>
                </c:pt>
                <c:pt idx="30">
                  <c:v>642160.00000000407</c:v>
                </c:pt>
                <c:pt idx="31">
                  <c:v>13040.000000005006</c:v>
                </c:pt>
                <c:pt idx="32">
                  <c:v>323679.99999999208</c:v>
                </c:pt>
                <c:pt idx="33">
                  <c:v>484400.00000000477</c:v>
                </c:pt>
                <c:pt idx="34">
                  <c:v>571200</c:v>
                </c:pt>
                <c:pt idx="35">
                  <c:v>263839.99999999953</c:v>
                </c:pt>
                <c:pt idx="36">
                  <c:v>562479.99999999721</c:v>
                </c:pt>
                <c:pt idx="37">
                  <c:v>780079.9999999979</c:v>
                </c:pt>
                <c:pt idx="38">
                  <c:v>1399519.9999999984</c:v>
                </c:pt>
                <c:pt idx="39">
                  <c:v>383280.00000000186</c:v>
                </c:pt>
                <c:pt idx="40">
                  <c:v>118639.99999999907</c:v>
                </c:pt>
                <c:pt idx="41">
                  <c:v>356960.0000000021</c:v>
                </c:pt>
                <c:pt idx="42">
                  <c:v>1827679.9999999898</c:v>
                </c:pt>
                <c:pt idx="43">
                  <c:v>537920.00000000373</c:v>
                </c:pt>
                <c:pt idx="44">
                  <c:v>475999.99999999529</c:v>
                </c:pt>
                <c:pt idx="45">
                  <c:v>585680.00000000466</c:v>
                </c:pt>
                <c:pt idx="46">
                  <c:v>1080960.0000000065</c:v>
                </c:pt>
                <c:pt idx="47">
                  <c:v>4083439.9999999986</c:v>
                </c:pt>
                <c:pt idx="48">
                  <c:v>2040560.0000000051</c:v>
                </c:pt>
                <c:pt idx="49">
                  <c:v>1321360.0000000056</c:v>
                </c:pt>
                <c:pt idx="50">
                  <c:v>511199.99999999581</c:v>
                </c:pt>
                <c:pt idx="51">
                  <c:v>707759.99999999814</c:v>
                </c:pt>
                <c:pt idx="52">
                  <c:v>969600.00000000466</c:v>
                </c:pt>
                <c:pt idx="53">
                  <c:v>3108479.9999999963</c:v>
                </c:pt>
                <c:pt idx="54">
                  <c:v>2502480.0000000009</c:v>
                </c:pt>
                <c:pt idx="55">
                  <c:v>400480.00000000466</c:v>
                </c:pt>
                <c:pt idx="56">
                  <c:v>3507039.999999993</c:v>
                </c:pt>
                <c:pt idx="57">
                  <c:v>3073679.9999999981</c:v>
                </c:pt>
                <c:pt idx="58">
                  <c:v>908880.00000000081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A0E-8645-9408-325B2276F319}"/>
            </c:ext>
          </c:extLst>
        </c:ser>
        <c:ser>
          <c:idx val="2"/>
          <c:order val="2"/>
          <c:tx>
            <c:strRef>
              <c:f>'P&amp;L Before vs. After Hedging'!$K$3</c:f>
              <c:strCache>
                <c:ptCount val="1"/>
                <c:pt idx="0">
                  <c:v>P&amp;L after Brent hedge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'P&amp;L Before vs. After Hedging'!$K$4:$K$62</c:f>
              <c:numCache>
                <c:formatCode>General</c:formatCode>
                <c:ptCount val="59"/>
                <c:pt idx="0">
                  <c:v>433520.00000000279</c:v>
                </c:pt>
                <c:pt idx="1">
                  <c:v>1296320.0000000005</c:v>
                </c:pt>
                <c:pt idx="2">
                  <c:v>15040.000000003143</c:v>
                </c:pt>
                <c:pt idx="3">
                  <c:v>378800.00000000349</c:v>
                </c:pt>
                <c:pt idx="4">
                  <c:v>1116160</c:v>
                </c:pt>
                <c:pt idx="5">
                  <c:v>254160.0000000014</c:v>
                </c:pt>
                <c:pt idx="6">
                  <c:v>1118879.9999999958</c:v>
                </c:pt>
                <c:pt idx="7">
                  <c:v>1314719.9999999958</c:v>
                </c:pt>
                <c:pt idx="8">
                  <c:v>1594400.0000000028</c:v>
                </c:pt>
                <c:pt idx="9">
                  <c:v>104640.00000000495</c:v>
                </c:pt>
                <c:pt idx="10">
                  <c:v>404880.00000000698</c:v>
                </c:pt>
                <c:pt idx="11">
                  <c:v>961599.99999999511</c:v>
                </c:pt>
                <c:pt idx="12">
                  <c:v>2162719.9999999953</c:v>
                </c:pt>
                <c:pt idx="13">
                  <c:v>2199280.0000000019</c:v>
                </c:pt>
                <c:pt idx="14">
                  <c:v>929840.00000000093</c:v>
                </c:pt>
                <c:pt idx="15">
                  <c:v>291919.99999999348</c:v>
                </c:pt>
                <c:pt idx="16">
                  <c:v>362799.99999998137</c:v>
                </c:pt>
                <c:pt idx="17">
                  <c:v>2112799.9999999888</c:v>
                </c:pt>
                <c:pt idx="18">
                  <c:v>187440</c:v>
                </c:pt>
                <c:pt idx="19">
                  <c:v>4584880</c:v>
                </c:pt>
                <c:pt idx="20">
                  <c:v>1665920.0000000037</c:v>
                </c:pt>
                <c:pt idx="21">
                  <c:v>490879.99999999627</c:v>
                </c:pt>
                <c:pt idx="22">
                  <c:v>2802399.9999999991</c:v>
                </c:pt>
                <c:pt idx="23">
                  <c:v>2288400.0000000037</c:v>
                </c:pt>
                <c:pt idx="24">
                  <c:v>2899040.0000000033</c:v>
                </c:pt>
                <c:pt idx="25">
                  <c:v>653119.99999999837</c:v>
                </c:pt>
                <c:pt idx="26">
                  <c:v>1161679.9999999986</c:v>
                </c:pt>
                <c:pt idx="27">
                  <c:v>161279.99999999534</c:v>
                </c:pt>
                <c:pt idx="28">
                  <c:v>742480.00000000419</c:v>
                </c:pt>
                <c:pt idx="29">
                  <c:v>132880.00000000105</c:v>
                </c:pt>
                <c:pt idx="30">
                  <c:v>465759.99999999977</c:v>
                </c:pt>
                <c:pt idx="31">
                  <c:v>1352799.9999999991</c:v>
                </c:pt>
                <c:pt idx="32">
                  <c:v>941360.00000000326</c:v>
                </c:pt>
                <c:pt idx="33">
                  <c:v>881439.99999999907</c:v>
                </c:pt>
                <c:pt idx="34">
                  <c:v>1609440.0000000012</c:v>
                </c:pt>
                <c:pt idx="35">
                  <c:v>178160.00000000698</c:v>
                </c:pt>
                <c:pt idx="36">
                  <c:v>299360.00000000652</c:v>
                </c:pt>
                <c:pt idx="37">
                  <c:v>638959.99999999767</c:v>
                </c:pt>
                <c:pt idx="38">
                  <c:v>213280.00000000279</c:v>
                </c:pt>
                <c:pt idx="39">
                  <c:v>947760.00000000373</c:v>
                </c:pt>
                <c:pt idx="40">
                  <c:v>57759.999999998021</c:v>
                </c:pt>
                <c:pt idx="41">
                  <c:v>709759.99999999627</c:v>
                </c:pt>
                <c:pt idx="42">
                  <c:v>657040.00000000629</c:v>
                </c:pt>
                <c:pt idx="43">
                  <c:v>1928960.0000000065</c:v>
                </c:pt>
                <c:pt idx="44">
                  <c:v>576799.99999999674</c:v>
                </c:pt>
                <c:pt idx="45">
                  <c:v>1029200.0000000023</c:v>
                </c:pt>
                <c:pt idx="46">
                  <c:v>1106159.9999999977</c:v>
                </c:pt>
                <c:pt idx="47">
                  <c:v>1387040.0000000014</c:v>
                </c:pt>
                <c:pt idx="48">
                  <c:v>1583199.9999999935</c:v>
                </c:pt>
                <c:pt idx="49">
                  <c:v>906319.99999999534</c:v>
                </c:pt>
                <c:pt idx="50">
                  <c:v>723600.00000000559</c:v>
                </c:pt>
                <c:pt idx="51">
                  <c:v>62639.999999998137</c:v>
                </c:pt>
                <c:pt idx="52">
                  <c:v>3119.9999999916181</c:v>
                </c:pt>
                <c:pt idx="53">
                  <c:v>1173119.9999999944</c:v>
                </c:pt>
                <c:pt idx="54">
                  <c:v>682800.00000000233</c:v>
                </c:pt>
                <c:pt idx="55">
                  <c:v>194239.99999999907</c:v>
                </c:pt>
                <c:pt idx="56">
                  <c:v>2162960.0000000009</c:v>
                </c:pt>
                <c:pt idx="57">
                  <c:v>866159.99999999336</c:v>
                </c:pt>
                <c:pt idx="58">
                  <c:v>102480.00000000373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A0E-8645-9408-325B2276F3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01364607"/>
        <c:axId val="1703731967"/>
      </c:lineChart>
      <c:catAx>
        <c:axId val="17013646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3731967"/>
        <c:crosses val="autoZero"/>
        <c:auto val="1"/>
        <c:lblAlgn val="ctr"/>
        <c:lblOffset val="100"/>
        <c:tickLblSkip val="10"/>
        <c:noMultiLvlLbl val="0"/>
      </c:catAx>
      <c:valAx>
        <c:axId val="17037319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13646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P&amp;L</a:t>
            </a:r>
            <a:r>
              <a:rPr lang="en-GB" baseline="0"/>
              <a:t> After Brent &amp; WTI Hedging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'P&amp;L With Directions'!$H$2</c:f>
              <c:strCache>
                <c:ptCount val="1"/>
                <c:pt idx="0">
                  <c:v>P&amp;L before hedge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'P&amp;L With Directions'!$H$3:$H$61</c:f>
              <c:numCache>
                <c:formatCode>General</c:formatCode>
                <c:ptCount val="59"/>
                <c:pt idx="0">
                  <c:v>-1880000.0000000016</c:v>
                </c:pt>
                <c:pt idx="1">
                  <c:v>-3279999.9999999986</c:v>
                </c:pt>
                <c:pt idx="2">
                  <c:v>-640000.00000000058</c:v>
                </c:pt>
                <c:pt idx="3">
                  <c:v>99999.999999997875</c:v>
                </c:pt>
                <c:pt idx="4">
                  <c:v>-919999.99999999639</c:v>
                </c:pt>
                <c:pt idx="5">
                  <c:v>-2160000.0000000019</c:v>
                </c:pt>
                <c:pt idx="6">
                  <c:v>1260000.0000000033</c:v>
                </c:pt>
                <c:pt idx="7">
                  <c:v>-3060000.0000000005</c:v>
                </c:pt>
                <c:pt idx="8">
                  <c:v>-6080000.0000000056</c:v>
                </c:pt>
                <c:pt idx="9">
                  <c:v>480000.00000000041</c:v>
                </c:pt>
                <c:pt idx="10">
                  <c:v>-2099999.9999999995</c:v>
                </c:pt>
                <c:pt idx="11">
                  <c:v>2019999.9999999995</c:v>
                </c:pt>
                <c:pt idx="12">
                  <c:v>-6859999.9999999991</c:v>
                </c:pt>
                <c:pt idx="13">
                  <c:v>-2919999.9999999981</c:v>
                </c:pt>
                <c:pt idx="14">
                  <c:v>-5360000.0000000047</c:v>
                </c:pt>
                <c:pt idx="15">
                  <c:v>-8140000.0000000009</c:v>
                </c:pt>
                <c:pt idx="16">
                  <c:v>-5679999.999999987</c:v>
                </c:pt>
                <c:pt idx="17">
                  <c:v>9319999.9999999944</c:v>
                </c:pt>
                <c:pt idx="18">
                  <c:v>5160000</c:v>
                </c:pt>
                <c:pt idx="19">
                  <c:v>5480000</c:v>
                </c:pt>
                <c:pt idx="20">
                  <c:v>18560000</c:v>
                </c:pt>
                <c:pt idx="21">
                  <c:v>6679999.9999999972</c:v>
                </c:pt>
                <c:pt idx="22">
                  <c:v>8799999.9999999981</c:v>
                </c:pt>
                <c:pt idx="23">
                  <c:v>-1919999.9999999972</c:v>
                </c:pt>
                <c:pt idx="24">
                  <c:v>3020000.0000000005</c:v>
                </c:pt>
                <c:pt idx="25">
                  <c:v>-1520000.0000000014</c:v>
                </c:pt>
                <c:pt idx="26">
                  <c:v>939999.9999999986</c:v>
                </c:pt>
                <c:pt idx="27">
                  <c:v>-7559999.9999999981</c:v>
                </c:pt>
                <c:pt idx="28">
                  <c:v>-2320000.0000000019</c:v>
                </c:pt>
                <c:pt idx="29">
                  <c:v>-859999.99999999849</c:v>
                </c:pt>
                <c:pt idx="30">
                  <c:v>1000000.0000000009</c:v>
                </c:pt>
                <c:pt idx="31">
                  <c:v>-260000.00000000244</c:v>
                </c:pt>
                <c:pt idx="32">
                  <c:v>-3639999.9999999986</c:v>
                </c:pt>
                <c:pt idx="33">
                  <c:v>-560000.00000000047</c:v>
                </c:pt>
                <c:pt idx="34">
                  <c:v>-1680000.0000000014</c:v>
                </c:pt>
                <c:pt idx="35">
                  <c:v>3560000.0000000033</c:v>
                </c:pt>
                <c:pt idx="36">
                  <c:v>-2900000.0000000047</c:v>
                </c:pt>
                <c:pt idx="37">
                  <c:v>-2660000</c:v>
                </c:pt>
                <c:pt idx="38">
                  <c:v>-2719999.9999999935</c:v>
                </c:pt>
                <c:pt idx="39">
                  <c:v>5699999.9999999944</c:v>
                </c:pt>
                <c:pt idx="40">
                  <c:v>920000.00000000081</c:v>
                </c:pt>
                <c:pt idx="41">
                  <c:v>-1999999.9999999974</c:v>
                </c:pt>
                <c:pt idx="42">
                  <c:v>1660000.0000000037</c:v>
                </c:pt>
                <c:pt idx="43">
                  <c:v>-4580000.0000000019</c:v>
                </c:pt>
                <c:pt idx="44">
                  <c:v>-280000.00000000471</c:v>
                </c:pt>
                <c:pt idx="45">
                  <c:v>-759999.99999999627</c:v>
                </c:pt>
                <c:pt idx="46">
                  <c:v>-4740000.0000000019</c:v>
                </c:pt>
                <c:pt idx="47">
                  <c:v>-4279999.9999999991</c:v>
                </c:pt>
                <c:pt idx="48">
                  <c:v>-5120000.0000000047</c:v>
                </c:pt>
                <c:pt idx="49">
                  <c:v>-3259999.9999999963</c:v>
                </c:pt>
                <c:pt idx="50">
                  <c:v>-4139999.9999999972</c:v>
                </c:pt>
                <c:pt idx="51">
                  <c:v>4680000</c:v>
                </c:pt>
                <c:pt idx="52">
                  <c:v>2759999.9999999981</c:v>
                </c:pt>
                <c:pt idx="53">
                  <c:v>-3300000.0000000009</c:v>
                </c:pt>
                <c:pt idx="54">
                  <c:v>960000.00000000081</c:v>
                </c:pt>
                <c:pt idx="55">
                  <c:v>5380000.0000000028</c:v>
                </c:pt>
                <c:pt idx="56">
                  <c:v>-3680000.0000000033</c:v>
                </c:pt>
                <c:pt idx="57">
                  <c:v>540000.00000000268</c:v>
                </c:pt>
                <c:pt idx="58">
                  <c:v>1680000.0000000014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BE7-1344-8155-2A799F31C037}"/>
            </c:ext>
          </c:extLst>
        </c:ser>
        <c:ser>
          <c:idx val="1"/>
          <c:order val="1"/>
          <c:tx>
            <c:strRef>
              <c:f>'P&amp;L With Directions'!$K$2</c:f>
              <c:strCache>
                <c:ptCount val="1"/>
                <c:pt idx="0">
                  <c:v>P&amp;L after WTI hedge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'P&amp;L With Directions'!$K$3:$K$61</c:f>
              <c:numCache>
                <c:formatCode>General</c:formatCode>
                <c:ptCount val="59"/>
                <c:pt idx="0">
                  <c:v>-60560.000000002095</c:v>
                </c:pt>
                <c:pt idx="1">
                  <c:v>-1183360.0000000005</c:v>
                </c:pt>
                <c:pt idx="2">
                  <c:v>-720639.99999999884</c:v>
                </c:pt>
                <c:pt idx="3">
                  <c:v>-787040.00000000466</c:v>
                </c:pt>
                <c:pt idx="4">
                  <c:v>2330800.0000000051</c:v>
                </c:pt>
                <c:pt idx="5">
                  <c:v>1735920</c:v>
                </c:pt>
                <c:pt idx="6">
                  <c:v>-866879.99999999581</c:v>
                </c:pt>
                <c:pt idx="7">
                  <c:v>800639.99999999814</c:v>
                </c:pt>
                <c:pt idx="8">
                  <c:v>230079.99999999255</c:v>
                </c:pt>
                <c:pt idx="9">
                  <c:v>-2322240.0000000005</c:v>
                </c:pt>
                <c:pt idx="10">
                  <c:v>1604400.0000000047</c:v>
                </c:pt>
                <c:pt idx="11">
                  <c:v>-137120.0000000014</c:v>
                </c:pt>
                <c:pt idx="12">
                  <c:v>-1764559.9999999991</c:v>
                </c:pt>
                <c:pt idx="13">
                  <c:v>-3040959.9999999953</c:v>
                </c:pt>
                <c:pt idx="14">
                  <c:v>768639.99999999348</c:v>
                </c:pt>
                <c:pt idx="15">
                  <c:v>-1260400.0000000047</c:v>
                </c:pt>
                <c:pt idx="16">
                  <c:v>675440.00000002049</c:v>
                </c:pt>
                <c:pt idx="17">
                  <c:v>1361839.9999999916</c:v>
                </c:pt>
                <c:pt idx="18">
                  <c:v>815519.99999999814</c:v>
                </c:pt>
                <c:pt idx="19">
                  <c:v>-2004399.9999999972</c:v>
                </c:pt>
                <c:pt idx="20">
                  <c:v>2129599.9999999944</c:v>
                </c:pt>
                <c:pt idx="21">
                  <c:v>183440</c:v>
                </c:pt>
                <c:pt idx="22">
                  <c:v>3452559.9999999981</c:v>
                </c:pt>
                <c:pt idx="23">
                  <c:v>-3366479.9999999995</c:v>
                </c:pt>
                <c:pt idx="24">
                  <c:v>4239680.0000000019</c:v>
                </c:pt>
                <c:pt idx="25">
                  <c:v>1246959.9999999995</c:v>
                </c:pt>
                <c:pt idx="26">
                  <c:v>1297839.9999999991</c:v>
                </c:pt>
                <c:pt idx="27">
                  <c:v>483840.00000000186</c:v>
                </c:pt>
                <c:pt idx="28">
                  <c:v>-550960.00000000652</c:v>
                </c:pt>
                <c:pt idx="29">
                  <c:v>-1142239.9999999925</c:v>
                </c:pt>
                <c:pt idx="30">
                  <c:v>1357839.9999999977</c:v>
                </c:pt>
                <c:pt idx="31">
                  <c:v>-13040.000000005006</c:v>
                </c:pt>
                <c:pt idx="32">
                  <c:v>-323679.99999999208</c:v>
                </c:pt>
                <c:pt idx="33">
                  <c:v>-484400.00000000477</c:v>
                </c:pt>
                <c:pt idx="34">
                  <c:v>-571200</c:v>
                </c:pt>
                <c:pt idx="35">
                  <c:v>263839.99999999953</c:v>
                </c:pt>
                <c:pt idx="36">
                  <c:v>562479.99999999721</c:v>
                </c:pt>
                <c:pt idx="37">
                  <c:v>-780079.9999999979</c:v>
                </c:pt>
                <c:pt idx="38">
                  <c:v>-1399519.9999999984</c:v>
                </c:pt>
                <c:pt idx="39">
                  <c:v>-383280.00000000186</c:v>
                </c:pt>
                <c:pt idx="40">
                  <c:v>1721360.0000000026</c:v>
                </c:pt>
                <c:pt idx="41">
                  <c:v>-356960.0000000021</c:v>
                </c:pt>
                <c:pt idx="42">
                  <c:v>-1827679.9999999898</c:v>
                </c:pt>
                <c:pt idx="43">
                  <c:v>-537920.00000000373</c:v>
                </c:pt>
                <c:pt idx="44">
                  <c:v>475999.99999999529</c:v>
                </c:pt>
                <c:pt idx="45">
                  <c:v>585680.00000000466</c:v>
                </c:pt>
                <c:pt idx="46">
                  <c:v>-1080960.0000000065</c:v>
                </c:pt>
                <c:pt idx="47">
                  <c:v>-4476559.9999999991</c:v>
                </c:pt>
                <c:pt idx="48">
                  <c:v>-2040560.0000000051</c:v>
                </c:pt>
                <c:pt idx="49">
                  <c:v>1321360.0000000056</c:v>
                </c:pt>
                <c:pt idx="50">
                  <c:v>-511199.99999999581</c:v>
                </c:pt>
                <c:pt idx="51">
                  <c:v>-707759.99999999814</c:v>
                </c:pt>
                <c:pt idx="52">
                  <c:v>-969600.00000000466</c:v>
                </c:pt>
                <c:pt idx="53">
                  <c:v>-3108479.9999999963</c:v>
                </c:pt>
                <c:pt idx="54">
                  <c:v>-2502480.0000000009</c:v>
                </c:pt>
                <c:pt idx="55">
                  <c:v>400480.00000000466</c:v>
                </c:pt>
                <c:pt idx="56">
                  <c:v>3507039.999999993</c:v>
                </c:pt>
                <c:pt idx="57">
                  <c:v>4153680.0000000037</c:v>
                </c:pt>
                <c:pt idx="58">
                  <c:v>908880.00000000081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BE7-1344-8155-2A799F31C037}"/>
            </c:ext>
          </c:extLst>
        </c:ser>
        <c:ser>
          <c:idx val="2"/>
          <c:order val="2"/>
          <c:tx>
            <c:strRef>
              <c:f>'P&amp;L With Directions'!$L$2</c:f>
              <c:strCache>
                <c:ptCount val="1"/>
                <c:pt idx="0">
                  <c:v>P&amp;L after Brent hedge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'P&amp;L With Directions'!$L$3:$L$61</c:f>
              <c:numCache>
                <c:formatCode>General</c:formatCode>
                <c:ptCount val="59"/>
                <c:pt idx="0">
                  <c:v>-433520.00000000279</c:v>
                </c:pt>
                <c:pt idx="1">
                  <c:v>1296320.0000000005</c:v>
                </c:pt>
                <c:pt idx="2">
                  <c:v>-1264959.9999999981</c:v>
                </c:pt>
                <c:pt idx="3">
                  <c:v>578799.9999999993</c:v>
                </c:pt>
                <c:pt idx="4">
                  <c:v>1116160</c:v>
                </c:pt>
                <c:pt idx="5">
                  <c:v>254160.0000000014</c:v>
                </c:pt>
                <c:pt idx="6">
                  <c:v>-1118879.9999999958</c:v>
                </c:pt>
                <c:pt idx="7">
                  <c:v>1314719.9999999958</c:v>
                </c:pt>
                <c:pt idx="8">
                  <c:v>-1594400.0000000028</c:v>
                </c:pt>
                <c:pt idx="9">
                  <c:v>-104640.00000000495</c:v>
                </c:pt>
                <c:pt idx="10">
                  <c:v>404880.00000000698</c:v>
                </c:pt>
                <c:pt idx="11">
                  <c:v>961599.99999999511</c:v>
                </c:pt>
                <c:pt idx="12">
                  <c:v>-2162719.9999999953</c:v>
                </c:pt>
                <c:pt idx="13">
                  <c:v>-2199280.0000000019</c:v>
                </c:pt>
                <c:pt idx="14">
                  <c:v>-929840.00000000093</c:v>
                </c:pt>
                <c:pt idx="15">
                  <c:v>291919.99999999348</c:v>
                </c:pt>
                <c:pt idx="16">
                  <c:v>-362799.99999998137</c:v>
                </c:pt>
                <c:pt idx="17">
                  <c:v>2112799.9999999888</c:v>
                </c:pt>
                <c:pt idx="18">
                  <c:v>-187440</c:v>
                </c:pt>
                <c:pt idx="19">
                  <c:v>-4584880</c:v>
                </c:pt>
                <c:pt idx="20">
                  <c:v>1665920.0000000037</c:v>
                </c:pt>
                <c:pt idx="21">
                  <c:v>490879.99999999627</c:v>
                </c:pt>
                <c:pt idx="22">
                  <c:v>2802399.9999999991</c:v>
                </c:pt>
                <c:pt idx="23">
                  <c:v>2288400.0000000037</c:v>
                </c:pt>
                <c:pt idx="24">
                  <c:v>3140959.9999999977</c:v>
                </c:pt>
                <c:pt idx="25">
                  <c:v>-653119.99999999837</c:v>
                </c:pt>
                <c:pt idx="26">
                  <c:v>3041679.9999999958</c:v>
                </c:pt>
                <c:pt idx="27">
                  <c:v>-161279.99999999534</c:v>
                </c:pt>
                <c:pt idx="28">
                  <c:v>-742480.00000000419</c:v>
                </c:pt>
                <c:pt idx="29">
                  <c:v>132880.00000000105</c:v>
                </c:pt>
                <c:pt idx="30">
                  <c:v>465759.99999999977</c:v>
                </c:pt>
                <c:pt idx="31">
                  <c:v>-1872800.0000000037</c:v>
                </c:pt>
                <c:pt idx="32">
                  <c:v>941360.00000000326</c:v>
                </c:pt>
                <c:pt idx="33">
                  <c:v>881439.99999999907</c:v>
                </c:pt>
                <c:pt idx="34">
                  <c:v>-1609440.0000000012</c:v>
                </c:pt>
                <c:pt idx="35">
                  <c:v>178160.00000000698</c:v>
                </c:pt>
                <c:pt idx="36">
                  <c:v>-299360.00000000652</c:v>
                </c:pt>
                <c:pt idx="37">
                  <c:v>-638959.99999999767</c:v>
                </c:pt>
                <c:pt idx="38">
                  <c:v>213280.00000000279</c:v>
                </c:pt>
                <c:pt idx="39">
                  <c:v>-947760.00000000373</c:v>
                </c:pt>
                <c:pt idx="40">
                  <c:v>1897759.9999999995</c:v>
                </c:pt>
                <c:pt idx="41">
                  <c:v>-709759.99999999627</c:v>
                </c:pt>
                <c:pt idx="42">
                  <c:v>657040.00000000629</c:v>
                </c:pt>
                <c:pt idx="43">
                  <c:v>-1928960.0000000065</c:v>
                </c:pt>
                <c:pt idx="44">
                  <c:v>576799.99999999674</c:v>
                </c:pt>
                <c:pt idx="45">
                  <c:v>1029200.0000000023</c:v>
                </c:pt>
                <c:pt idx="46">
                  <c:v>-1106159.9999999977</c:v>
                </c:pt>
                <c:pt idx="47">
                  <c:v>-1387040.0000000014</c:v>
                </c:pt>
                <c:pt idx="48">
                  <c:v>1583199.9999999935</c:v>
                </c:pt>
                <c:pt idx="49">
                  <c:v>-906319.99999999534</c:v>
                </c:pt>
                <c:pt idx="50">
                  <c:v>723600.00000000559</c:v>
                </c:pt>
                <c:pt idx="51">
                  <c:v>-62639.999999998137</c:v>
                </c:pt>
                <c:pt idx="52">
                  <c:v>3119.9999999916181</c:v>
                </c:pt>
                <c:pt idx="53">
                  <c:v>-1173119.9999999944</c:v>
                </c:pt>
                <c:pt idx="54">
                  <c:v>1237199.9999999993</c:v>
                </c:pt>
                <c:pt idx="55">
                  <c:v>-194239.99999999907</c:v>
                </c:pt>
                <c:pt idx="56">
                  <c:v>-2162960.0000000009</c:v>
                </c:pt>
                <c:pt idx="57">
                  <c:v>1946159.9999999986</c:v>
                </c:pt>
                <c:pt idx="58">
                  <c:v>102480.00000000373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BE7-1344-8155-2A799F31C0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02002752"/>
        <c:axId val="702002304"/>
      </c:lineChart>
      <c:catAx>
        <c:axId val="7020027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2002304"/>
        <c:crosses val="autoZero"/>
        <c:auto val="1"/>
        <c:lblAlgn val="ctr"/>
        <c:lblOffset val="100"/>
        <c:noMultiLvlLbl val="0"/>
      </c:catAx>
      <c:valAx>
        <c:axId val="7020023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2002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279400</xdr:colOff>
      <xdr:row>1</xdr:row>
      <xdr:rowOff>63500</xdr:rowOff>
    </xdr:from>
    <xdr:to>
      <xdr:col>19</xdr:col>
      <xdr:colOff>762000</xdr:colOff>
      <xdr:row>23</xdr:row>
      <xdr:rowOff>1130300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0B06DE8-9706-C148-43E6-C267589F343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279400</xdr:colOff>
      <xdr:row>1</xdr:row>
      <xdr:rowOff>63500</xdr:rowOff>
    </xdr:from>
    <xdr:to>
      <xdr:col>15</xdr:col>
      <xdr:colOff>279400</xdr:colOff>
      <xdr:row>11</xdr:row>
      <xdr:rowOff>63500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B5A7A51-B6AD-EE2F-41A1-990C59261EA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279400</xdr:colOff>
      <xdr:row>1</xdr:row>
      <xdr:rowOff>63500</xdr:rowOff>
    </xdr:from>
    <xdr:to>
      <xdr:col>18</xdr:col>
      <xdr:colOff>800100</xdr:colOff>
      <xdr:row>23</xdr:row>
      <xdr:rowOff>1282700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A5B29B8-EAC2-918B-6F0B-6D23DB3347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279400</xdr:colOff>
      <xdr:row>1</xdr:row>
      <xdr:rowOff>63500</xdr:rowOff>
    </xdr:from>
    <xdr:to>
      <xdr:col>15</xdr:col>
      <xdr:colOff>279400</xdr:colOff>
      <xdr:row>11</xdr:row>
      <xdr:rowOff>63500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3FE03AB-4DA8-5EAA-561F-F1B1AF3BCC7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279400</xdr:colOff>
      <xdr:row>1</xdr:row>
      <xdr:rowOff>63500</xdr:rowOff>
    </xdr:from>
    <xdr:to>
      <xdr:col>15</xdr:col>
      <xdr:colOff>279400</xdr:colOff>
      <xdr:row>11</xdr:row>
      <xdr:rowOff>63500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2EB592B-0872-225F-B56F-2FC3F5A42ED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22013</xdr:colOff>
      <xdr:row>39</xdr:row>
      <xdr:rowOff>50799</xdr:rowOff>
    </xdr:from>
    <xdr:to>
      <xdr:col>25</xdr:col>
      <xdr:colOff>931333</xdr:colOff>
      <xdr:row>63</xdr:row>
      <xdr:rowOff>5078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6A5E17B-BF16-EB67-24A8-ECB3A750CA7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33866</xdr:colOff>
      <xdr:row>39</xdr:row>
      <xdr:rowOff>33867</xdr:rowOff>
    </xdr:from>
    <xdr:to>
      <xdr:col>17</xdr:col>
      <xdr:colOff>694266</xdr:colOff>
      <xdr:row>60</xdr:row>
      <xdr:rowOff>169334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EC733DD8-FE5C-99F7-8731-2EA80C72AAB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815946</xdr:colOff>
      <xdr:row>12</xdr:row>
      <xdr:rowOff>10790</xdr:rowOff>
    </xdr:from>
    <xdr:to>
      <xdr:col>21</xdr:col>
      <xdr:colOff>775486</xdr:colOff>
      <xdr:row>36</xdr:row>
      <xdr:rowOff>157345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AA6596C-BC38-6D3D-9F91-3D7AEDBE373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3724D8-19E6-0647-8621-0CF086097453}">
  <dimension ref="A2:AA70"/>
  <sheetViews>
    <sheetView showGridLines="0" topLeftCell="M8" zoomScale="168" zoomScaleNormal="120" workbookViewId="0">
      <selection activeCell="Z8" sqref="Z1:Z1048576"/>
    </sheetView>
  </sheetViews>
  <sheetFormatPr baseColWidth="10" defaultColWidth="8.83203125" defaultRowHeight="13" x14ac:dyDescent="0.15"/>
  <cols>
    <col min="1" max="2" width="8.83203125" style="2"/>
    <col min="3" max="3" width="12.5" style="5" customWidth="1"/>
    <col min="4" max="5" width="29.6640625" style="2" customWidth="1"/>
    <col min="6" max="6" width="24.5" style="2" customWidth="1"/>
    <col min="7" max="7" width="25" style="2" customWidth="1"/>
    <col min="8" max="8" width="8.83203125" style="2"/>
    <col min="9" max="9" width="17.5" style="6" customWidth="1"/>
    <col min="10" max="11" width="17.5" style="2" customWidth="1"/>
    <col min="12" max="13" width="8.83203125" style="2"/>
    <col min="14" max="14" width="9" style="2" bestFit="1" customWidth="1"/>
    <col min="15" max="17" width="8.83203125" style="2"/>
    <col min="18" max="18" width="11.5" style="2" bestFit="1" customWidth="1"/>
    <col min="19" max="22" width="12.1640625" style="2" bestFit="1" customWidth="1"/>
    <col min="23" max="25" width="8.83203125" style="2"/>
    <col min="26" max="26" width="12.1640625" style="2" bestFit="1" customWidth="1"/>
    <col min="27" max="27" width="12.33203125" style="2" bestFit="1" customWidth="1"/>
    <col min="28" max="16384" width="8.83203125" style="2"/>
  </cols>
  <sheetData>
    <row r="2" spans="1:27" ht="12.75" customHeight="1" x14ac:dyDescent="0.15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</row>
    <row r="3" spans="1:27" ht="12.75" customHeight="1" x14ac:dyDescent="0.15">
      <c r="A3" s="3" t="s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</row>
    <row r="4" spans="1:27" ht="16" x14ac:dyDescent="0.2">
      <c r="A4" s="4" t="s">
        <v>2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</row>
    <row r="7" spans="1:27" ht="17" x14ac:dyDescent="0.25">
      <c r="I7" s="7" t="s">
        <v>3</v>
      </c>
      <c r="J7" s="8" t="s">
        <v>4</v>
      </c>
      <c r="K7" s="8" t="s">
        <v>5</v>
      </c>
    </row>
    <row r="8" spans="1:27" ht="145" thickBot="1" x14ac:dyDescent="0.2">
      <c r="C8" s="9" t="s">
        <v>6</v>
      </c>
      <c r="D8" s="10" t="s">
        <v>7</v>
      </c>
      <c r="E8" s="10" t="s">
        <v>8</v>
      </c>
      <c r="F8" s="10" t="s">
        <v>9</v>
      </c>
      <c r="G8" s="10" t="s">
        <v>10</v>
      </c>
      <c r="I8" s="11" t="s">
        <v>11</v>
      </c>
      <c r="J8" s="12" t="s">
        <v>12</v>
      </c>
      <c r="K8" s="12" t="s">
        <v>13</v>
      </c>
      <c r="M8" s="35" t="s">
        <v>48</v>
      </c>
      <c r="N8" s="35" t="s">
        <v>49</v>
      </c>
      <c r="O8" s="35" t="s">
        <v>50</v>
      </c>
      <c r="P8" s="35" t="s">
        <v>51</v>
      </c>
      <c r="R8" s="58" t="s">
        <v>48</v>
      </c>
      <c r="S8" s="58" t="s">
        <v>49</v>
      </c>
      <c r="T8" s="58" t="s">
        <v>50</v>
      </c>
      <c r="U8" s="58" t="s">
        <v>51</v>
      </c>
    </row>
    <row r="9" spans="1:27" ht="17" thickTop="1" x14ac:dyDescent="0.2">
      <c r="C9" s="13">
        <v>39113</v>
      </c>
      <c r="D9" s="14">
        <v>1.7589999999999999</v>
      </c>
      <c r="E9" s="15">
        <v>58.17</v>
      </c>
      <c r="F9" s="15">
        <v>56.52</v>
      </c>
      <c r="G9" s="15">
        <v>1.681</v>
      </c>
      <c r="H9" s="16"/>
      <c r="I9" s="17">
        <f>D9-E9/42</f>
        <v>0.37399999999999989</v>
      </c>
      <c r="J9" s="17">
        <f>D9-F9/42</f>
        <v>0.41328571428571403</v>
      </c>
      <c r="K9" s="18">
        <f>D9-G9</f>
        <v>7.7999999999999847E-2</v>
      </c>
      <c r="M9" s="2">
        <f>ABS(D10-D9)</f>
        <v>9.4000000000000083E-2</v>
      </c>
      <c r="N9" s="2">
        <f>ABS(E10-E9)</f>
        <v>3.6099999999999994</v>
      </c>
      <c r="O9" s="2">
        <f>ABS(F10-F9)</f>
        <v>2.8699999999999974</v>
      </c>
      <c r="P9" s="2">
        <f>ABS(G10-G9)</f>
        <v>9.9999999999999867E-2</v>
      </c>
      <c r="R9" s="2">
        <f>D10-D9</f>
        <v>9.4000000000000083E-2</v>
      </c>
      <c r="S9" s="2">
        <f t="shared" ref="S9:U9" si="0">E10-E9</f>
        <v>3.6099999999999994</v>
      </c>
      <c r="T9" s="2">
        <f t="shared" si="0"/>
        <v>2.8699999999999974</v>
      </c>
      <c r="U9" s="2">
        <f t="shared" si="0"/>
        <v>9.9999999999999867E-2</v>
      </c>
      <c r="W9" s="25"/>
      <c r="X9" s="25" t="s">
        <v>15</v>
      </c>
      <c r="Y9" s="25" t="s">
        <v>16</v>
      </c>
      <c r="Z9" s="25" t="s">
        <v>17</v>
      </c>
      <c r="AA9" s="25" t="s">
        <v>18</v>
      </c>
    </row>
    <row r="10" spans="1:27" ht="16" x14ac:dyDescent="0.2">
      <c r="C10" s="13">
        <v>39141</v>
      </c>
      <c r="D10" s="14">
        <v>1.853</v>
      </c>
      <c r="E10" s="15">
        <v>61.78</v>
      </c>
      <c r="F10" s="15">
        <v>59.39</v>
      </c>
      <c r="G10" s="15">
        <v>1.7809999999999999</v>
      </c>
      <c r="H10" s="16"/>
      <c r="I10" s="17">
        <f t="shared" ref="I10:I68" si="1">D10-E10/42</f>
        <v>0.38204761904761897</v>
      </c>
      <c r="J10" s="17">
        <f t="shared" ref="J10:J68" si="2">D10-F10/42</f>
        <v>0.43895238095238098</v>
      </c>
      <c r="K10" s="18">
        <f t="shared" ref="K10:K68" si="3">D10-G10</f>
        <v>7.2000000000000064E-2</v>
      </c>
      <c r="M10" s="2">
        <f>ABS(D11-D10)</f>
        <v>0.16399999999999992</v>
      </c>
      <c r="N10" s="2">
        <f>ABS(E11-E10)</f>
        <v>4.1599999999999966</v>
      </c>
      <c r="O10" s="2">
        <f>ABS(F11-F10)</f>
        <v>9.0799999999999983</v>
      </c>
      <c r="P10" s="2">
        <f>ABS(G11-G10)</f>
        <v>9.000000000000008E-2</v>
      </c>
      <c r="R10" s="2">
        <f t="shared" ref="R10:R67" si="4">D11-D10</f>
        <v>0.16399999999999992</v>
      </c>
      <c r="S10" s="2">
        <f t="shared" ref="S10:S67" si="5">E11-E10</f>
        <v>4.1599999999999966</v>
      </c>
      <c r="T10" s="2">
        <f t="shared" ref="T10:T67" si="6">F11-F10</f>
        <v>9.0799999999999983</v>
      </c>
      <c r="U10" s="2">
        <f t="shared" ref="U10:U67" si="7">G11-G10</f>
        <v>9.000000000000008E-2</v>
      </c>
      <c r="W10" s="26" t="s">
        <v>15</v>
      </c>
      <c r="X10" s="28">
        <v>1</v>
      </c>
      <c r="Y10" s="28"/>
      <c r="Z10" s="28"/>
      <c r="AA10" s="28"/>
    </row>
    <row r="11" spans="1:27" ht="16" x14ac:dyDescent="0.2">
      <c r="C11" s="13">
        <v>39171</v>
      </c>
      <c r="D11" s="14">
        <v>2.0169999999999999</v>
      </c>
      <c r="E11" s="15">
        <v>65.94</v>
      </c>
      <c r="F11" s="15">
        <v>68.47</v>
      </c>
      <c r="G11" s="15">
        <v>1.871</v>
      </c>
      <c r="H11" s="16"/>
      <c r="I11" s="17">
        <f t="shared" si="1"/>
        <v>0.44700000000000006</v>
      </c>
      <c r="J11" s="17">
        <f t="shared" si="2"/>
        <v>0.38676190476190464</v>
      </c>
      <c r="K11" s="18">
        <f t="shared" si="3"/>
        <v>0.14599999999999991</v>
      </c>
      <c r="M11" s="2">
        <f>ABS(D12-D11)</f>
        <v>3.2000000000000028E-2</v>
      </c>
      <c r="N11" s="2">
        <f>ABS(E12-E11)</f>
        <v>0.15999999999999659</v>
      </c>
      <c r="O11" s="2">
        <f>ABS(F12-F11)</f>
        <v>1.2399999999999949</v>
      </c>
      <c r="P11" s="2">
        <f>ABS(G12-G11)</f>
        <v>2.6000000000000023E-2</v>
      </c>
      <c r="R11" s="2">
        <f t="shared" si="4"/>
        <v>3.2000000000000028E-2</v>
      </c>
      <c r="S11" s="2">
        <f t="shared" si="5"/>
        <v>-0.15999999999999659</v>
      </c>
      <c r="T11" s="2">
        <f t="shared" si="6"/>
        <v>-1.2399999999999949</v>
      </c>
      <c r="U11" s="2">
        <f t="shared" si="7"/>
        <v>2.6000000000000023E-2</v>
      </c>
      <c r="W11" s="26" t="s">
        <v>16</v>
      </c>
      <c r="X11" s="28">
        <v>0.86764439936375026</v>
      </c>
      <c r="Y11" s="28">
        <v>1</v>
      </c>
      <c r="Z11" s="28"/>
      <c r="AA11" s="28"/>
    </row>
    <row r="12" spans="1:27" ht="16" x14ac:dyDescent="0.2">
      <c r="C12" s="13">
        <v>39202</v>
      </c>
      <c r="D12" s="14">
        <v>2.0489999999999999</v>
      </c>
      <c r="E12" s="15">
        <v>65.78</v>
      </c>
      <c r="F12" s="15">
        <v>67.23</v>
      </c>
      <c r="G12" s="15">
        <v>1.897</v>
      </c>
      <c r="H12" s="16"/>
      <c r="I12" s="17">
        <f t="shared" si="1"/>
        <v>0.4828095238095238</v>
      </c>
      <c r="J12" s="17">
        <f t="shared" si="2"/>
        <v>0.44828571428571418</v>
      </c>
      <c r="K12" s="18">
        <f t="shared" si="3"/>
        <v>0.15199999999999991</v>
      </c>
      <c r="M12" s="2">
        <f>ABS(D13-D12)</f>
        <v>4.9999999999998934E-3</v>
      </c>
      <c r="N12" s="2">
        <f>ABS(E13-E12)</f>
        <v>1.7600000000000051</v>
      </c>
      <c r="O12" s="2">
        <f>ABS(F13-F12)</f>
        <v>0.95000000000000284</v>
      </c>
      <c r="P12" s="2">
        <f>ABS(G13-G12)</f>
        <v>5.0000000000001155E-3</v>
      </c>
      <c r="R12" s="2">
        <f t="shared" si="4"/>
        <v>-4.9999999999998934E-3</v>
      </c>
      <c r="S12" s="2">
        <f t="shared" si="5"/>
        <v>-1.7600000000000051</v>
      </c>
      <c r="T12" s="2">
        <f t="shared" si="6"/>
        <v>0.95000000000000284</v>
      </c>
      <c r="U12" s="2">
        <f t="shared" si="7"/>
        <v>-5.0000000000001155E-3</v>
      </c>
      <c r="W12" s="26" t="s">
        <v>17</v>
      </c>
      <c r="X12" s="28">
        <v>0.9044070008094478</v>
      </c>
      <c r="Y12" s="28">
        <v>0.84237183379693847</v>
      </c>
      <c r="Z12" s="28">
        <v>1</v>
      </c>
      <c r="AA12" s="28"/>
    </row>
    <row r="13" spans="1:27" ht="17" thickBot="1" x14ac:dyDescent="0.25">
      <c r="C13" s="13">
        <v>39233</v>
      </c>
      <c r="D13" s="14">
        <v>2.044</v>
      </c>
      <c r="E13" s="15">
        <v>64.02</v>
      </c>
      <c r="F13" s="15">
        <v>68.180000000000007</v>
      </c>
      <c r="G13" s="15">
        <v>1.8919999999999999</v>
      </c>
      <c r="H13" s="16"/>
      <c r="I13" s="17">
        <f t="shared" si="1"/>
        <v>0.5197142857142858</v>
      </c>
      <c r="J13" s="17">
        <f t="shared" si="2"/>
        <v>0.42066666666666652</v>
      </c>
      <c r="K13" s="18">
        <f t="shared" si="3"/>
        <v>0.15200000000000014</v>
      </c>
      <c r="M13" s="2">
        <f>ABS(D14-D13)</f>
        <v>4.5999999999999819E-2</v>
      </c>
      <c r="N13" s="2">
        <f>ABS(E14-E13)</f>
        <v>6.4500000000000028</v>
      </c>
      <c r="O13" s="2">
        <f>ABS(F14-F13)</f>
        <v>4.039999999999992</v>
      </c>
      <c r="P13" s="2">
        <f>ABS(G14-G13)</f>
        <v>0.13100000000000023</v>
      </c>
      <c r="R13" s="2">
        <f t="shared" si="4"/>
        <v>4.5999999999999819E-2</v>
      </c>
      <c r="S13" s="2">
        <f t="shared" si="5"/>
        <v>6.4500000000000028</v>
      </c>
      <c r="T13" s="2">
        <f t="shared" si="6"/>
        <v>4.039999999999992</v>
      </c>
      <c r="U13" s="2">
        <f t="shared" si="7"/>
        <v>0.13100000000000023</v>
      </c>
      <c r="W13" s="27" t="s">
        <v>18</v>
      </c>
      <c r="X13" s="29">
        <v>0.95176730810522581</v>
      </c>
      <c r="Y13" s="29">
        <v>0.83086588749005696</v>
      </c>
      <c r="Z13" s="29">
        <v>0.85189305366764523</v>
      </c>
      <c r="AA13" s="29">
        <v>1</v>
      </c>
    </row>
    <row r="14" spans="1:27" x14ac:dyDescent="0.15">
      <c r="C14" s="13">
        <v>39262</v>
      </c>
      <c r="D14" s="14">
        <v>2.09</v>
      </c>
      <c r="E14" s="15">
        <v>70.47</v>
      </c>
      <c r="F14" s="15">
        <v>72.22</v>
      </c>
      <c r="G14" s="15">
        <v>2.0230000000000001</v>
      </c>
      <c r="H14" s="16"/>
      <c r="I14" s="17">
        <f t="shared" si="1"/>
        <v>0.41214285714285692</v>
      </c>
      <c r="J14" s="17">
        <f t="shared" si="2"/>
        <v>0.3704761904761904</v>
      </c>
      <c r="K14" s="18">
        <f t="shared" si="3"/>
        <v>6.6999999999999726E-2</v>
      </c>
      <c r="M14" s="2">
        <f>ABS(D15-D14)</f>
        <v>0.1080000000000001</v>
      </c>
      <c r="N14" s="2">
        <f>ABS(E15-E14)</f>
        <v>7.730000000000004</v>
      </c>
      <c r="O14" s="2">
        <f>ABS(F15-F14)</f>
        <v>4.7900000000000063</v>
      </c>
      <c r="P14" s="2">
        <f>ABS(G15-G14)</f>
        <v>7.2000000000000064E-2</v>
      </c>
      <c r="R14" s="2">
        <f t="shared" si="4"/>
        <v>0.1080000000000001</v>
      </c>
      <c r="S14" s="2">
        <f t="shared" si="5"/>
        <v>7.730000000000004</v>
      </c>
      <c r="T14" s="2">
        <f t="shared" si="6"/>
        <v>4.7900000000000063</v>
      </c>
      <c r="U14" s="2">
        <f t="shared" si="7"/>
        <v>7.2000000000000064E-2</v>
      </c>
    </row>
    <row r="15" spans="1:27" ht="14" thickBot="1" x14ac:dyDescent="0.2">
      <c r="C15" s="13">
        <v>39294</v>
      </c>
      <c r="D15" s="14">
        <v>2.198</v>
      </c>
      <c r="E15" s="15">
        <v>78.2</v>
      </c>
      <c r="F15" s="15">
        <v>77.010000000000005</v>
      </c>
      <c r="G15" s="15">
        <v>2.0950000000000002</v>
      </c>
      <c r="H15" s="16"/>
      <c r="I15" s="17">
        <f t="shared" si="1"/>
        <v>0.336095238095238</v>
      </c>
      <c r="J15" s="17">
        <f t="shared" si="2"/>
        <v>0.36442857142857132</v>
      </c>
      <c r="K15" s="18">
        <f t="shared" si="3"/>
        <v>0.10299999999999976</v>
      </c>
      <c r="M15" s="2">
        <f>ABS(D16-D15)</f>
        <v>6.3000000000000167E-2</v>
      </c>
      <c r="N15" s="2">
        <f>ABS(E16-E15)</f>
        <v>4.2199999999999989</v>
      </c>
      <c r="O15" s="2">
        <f>ABS(F16-F15)</f>
        <v>4.7199999999999989</v>
      </c>
      <c r="P15" s="2">
        <f>ABS(G16-G15)</f>
        <v>5.8000000000000274E-2</v>
      </c>
      <c r="R15" s="2">
        <f t="shared" si="4"/>
        <v>-6.3000000000000167E-2</v>
      </c>
      <c r="S15" s="2">
        <f t="shared" si="5"/>
        <v>-4.2199999999999989</v>
      </c>
      <c r="T15" s="2">
        <f t="shared" si="6"/>
        <v>-4.7199999999999989</v>
      </c>
      <c r="U15" s="2">
        <f t="shared" si="7"/>
        <v>-5.8000000000000274E-2</v>
      </c>
    </row>
    <row r="16" spans="1:27" ht="16" x14ac:dyDescent="0.2">
      <c r="C16" s="13">
        <v>39325</v>
      </c>
      <c r="D16" s="14">
        <v>2.1349999999999998</v>
      </c>
      <c r="E16" s="15">
        <v>73.98</v>
      </c>
      <c r="F16" s="15">
        <v>72.290000000000006</v>
      </c>
      <c r="G16" s="15">
        <v>2.0369999999999999</v>
      </c>
      <c r="H16" s="16"/>
      <c r="I16" s="17">
        <f t="shared" si="1"/>
        <v>0.37357142857142822</v>
      </c>
      <c r="J16" s="17">
        <f t="shared" si="2"/>
        <v>0.41380952380952341</v>
      </c>
      <c r="K16" s="18">
        <f t="shared" si="3"/>
        <v>9.7999999999999865E-2</v>
      </c>
      <c r="M16" s="2">
        <f>ABS(D17-D16)</f>
        <v>0.15300000000000002</v>
      </c>
      <c r="N16" s="2">
        <f>ABS(E17-E16)</f>
        <v>7.6599999999999966</v>
      </c>
      <c r="O16" s="2">
        <f>ABS(F17-F16)</f>
        <v>8.6799999999999926</v>
      </c>
      <c r="P16" s="2">
        <f>ABS(G17-G16)</f>
        <v>0.16199999999999992</v>
      </c>
      <c r="R16" s="2">
        <f t="shared" si="4"/>
        <v>0.15300000000000002</v>
      </c>
      <c r="S16" s="2">
        <f t="shared" si="5"/>
        <v>7.6599999999999966</v>
      </c>
      <c r="T16" s="2">
        <f t="shared" si="6"/>
        <v>8.6799999999999926</v>
      </c>
      <c r="U16" s="2">
        <f t="shared" si="7"/>
        <v>0.16199999999999992</v>
      </c>
      <c r="W16" s="59"/>
      <c r="X16" s="62" t="s">
        <v>15</v>
      </c>
      <c r="Y16" s="62" t="s">
        <v>16</v>
      </c>
      <c r="Z16" s="62" t="s">
        <v>17</v>
      </c>
      <c r="AA16" s="62" t="s">
        <v>18</v>
      </c>
    </row>
    <row r="17" spans="3:27" ht="16" x14ac:dyDescent="0.2">
      <c r="C17" s="13">
        <v>39353</v>
      </c>
      <c r="D17" s="14">
        <v>2.2879999999999998</v>
      </c>
      <c r="E17" s="15">
        <v>81.64</v>
      </c>
      <c r="F17" s="15">
        <v>80.97</v>
      </c>
      <c r="G17" s="15">
        <v>2.1989999999999998</v>
      </c>
      <c r="H17" s="16"/>
      <c r="I17" s="17">
        <f t="shared" si="1"/>
        <v>0.34419047619047594</v>
      </c>
      <c r="J17" s="17">
        <f t="shared" si="2"/>
        <v>0.36014285714285688</v>
      </c>
      <c r="K17" s="18">
        <f t="shared" si="3"/>
        <v>8.8999999999999968E-2</v>
      </c>
      <c r="M17" s="2">
        <f>ABS(D18-D17)</f>
        <v>0.30400000000000027</v>
      </c>
      <c r="N17" s="2">
        <f>ABS(E18-E17)</f>
        <v>12.519999999999996</v>
      </c>
      <c r="O17" s="2">
        <f>ABS(F18-F17)</f>
        <v>8.9000000000000057</v>
      </c>
      <c r="P17" s="2">
        <f>ABS(G18-G17)</f>
        <v>0.30699999999999994</v>
      </c>
      <c r="R17" s="2">
        <f t="shared" si="4"/>
        <v>0.30400000000000027</v>
      </c>
      <c r="S17" s="2">
        <f t="shared" si="5"/>
        <v>12.519999999999996</v>
      </c>
      <c r="T17" s="2">
        <f t="shared" si="6"/>
        <v>8.9000000000000057</v>
      </c>
      <c r="U17" s="2">
        <f t="shared" si="7"/>
        <v>0.30699999999999994</v>
      </c>
      <c r="W17" s="63" t="s">
        <v>15</v>
      </c>
      <c r="X17" s="60">
        <v>1</v>
      </c>
      <c r="Y17" s="60"/>
      <c r="Z17" s="60"/>
      <c r="AA17" s="60"/>
    </row>
    <row r="18" spans="3:27" ht="16" x14ac:dyDescent="0.2">
      <c r="C18" s="13">
        <v>39386</v>
      </c>
      <c r="D18" s="14">
        <v>2.5920000000000001</v>
      </c>
      <c r="E18" s="15">
        <v>94.16</v>
      </c>
      <c r="F18" s="15">
        <v>89.87</v>
      </c>
      <c r="G18" s="15">
        <v>2.5059999999999998</v>
      </c>
      <c r="H18" s="16"/>
      <c r="I18" s="17">
        <f t="shared" si="1"/>
        <v>0.35009523809523824</v>
      </c>
      <c r="J18" s="17">
        <f t="shared" si="2"/>
        <v>0.45223809523809511</v>
      </c>
      <c r="K18" s="18">
        <f t="shared" si="3"/>
        <v>8.6000000000000298E-2</v>
      </c>
      <c r="M18" s="2">
        <f>ABS(D19-D18)</f>
        <v>2.4000000000000021E-2</v>
      </c>
      <c r="N18" s="2">
        <f>ABS(E19-E18)</f>
        <v>5.5600000000000023</v>
      </c>
      <c r="O18" s="2">
        <f>ABS(F19-F18)</f>
        <v>1.1600000000000108</v>
      </c>
      <c r="P18" s="2">
        <f>ABS(G19-G18)</f>
        <v>6.9999999999996732E-3</v>
      </c>
      <c r="R18" s="2">
        <f t="shared" si="4"/>
        <v>-2.4000000000000021E-2</v>
      </c>
      <c r="S18" s="2">
        <f t="shared" si="5"/>
        <v>-5.5600000000000023</v>
      </c>
      <c r="T18" s="2">
        <f t="shared" si="6"/>
        <v>-1.1600000000000108</v>
      </c>
      <c r="U18" s="2">
        <f t="shared" si="7"/>
        <v>-6.9999999999996732E-3</v>
      </c>
      <c r="W18" s="63" t="s">
        <v>16</v>
      </c>
      <c r="X18" s="60">
        <v>0.92457751991151138</v>
      </c>
      <c r="Y18" s="60">
        <v>1</v>
      </c>
      <c r="Z18" s="60"/>
      <c r="AA18" s="60"/>
    </row>
    <row r="19" spans="3:27" ht="16" x14ac:dyDescent="0.2">
      <c r="C19" s="13">
        <v>39416</v>
      </c>
      <c r="D19" s="14">
        <v>2.5680000000000001</v>
      </c>
      <c r="E19" s="15">
        <v>88.6</v>
      </c>
      <c r="F19" s="15">
        <v>88.71</v>
      </c>
      <c r="G19" s="15">
        <v>2.4990000000000001</v>
      </c>
      <c r="H19" s="16"/>
      <c r="I19" s="17">
        <f t="shared" si="1"/>
        <v>0.45847619047619048</v>
      </c>
      <c r="J19" s="17">
        <f t="shared" si="2"/>
        <v>0.45585714285714296</v>
      </c>
      <c r="K19" s="18">
        <f t="shared" si="3"/>
        <v>6.899999999999995E-2</v>
      </c>
      <c r="M19" s="2">
        <f>ABS(D20-D19)</f>
        <v>0.10499999999999998</v>
      </c>
      <c r="N19" s="2">
        <f>ABS(E20-E19)</f>
        <v>7.3500000000000085</v>
      </c>
      <c r="O19" s="2">
        <f>ABS(F20-F19)</f>
        <v>4.9700000000000131</v>
      </c>
      <c r="P19" s="2">
        <f>ABS(G20-G19)</f>
        <v>0.14900000000000002</v>
      </c>
      <c r="R19" s="2">
        <f t="shared" si="4"/>
        <v>0.10499999999999998</v>
      </c>
      <c r="S19" s="2">
        <f t="shared" si="5"/>
        <v>7.3500000000000085</v>
      </c>
      <c r="T19" s="2">
        <f t="shared" si="6"/>
        <v>4.9700000000000131</v>
      </c>
      <c r="U19" s="2">
        <f t="shared" si="7"/>
        <v>0.14900000000000002</v>
      </c>
      <c r="W19" s="63" t="s">
        <v>17</v>
      </c>
      <c r="X19" s="60">
        <v>0.94960603272753019</v>
      </c>
      <c r="Y19" s="60">
        <v>0.91670816910775765</v>
      </c>
      <c r="Z19" s="60">
        <v>1</v>
      </c>
      <c r="AA19" s="60"/>
    </row>
    <row r="20" spans="3:27" ht="17" thickBot="1" x14ac:dyDescent="0.25">
      <c r="C20" s="13">
        <v>39447</v>
      </c>
      <c r="D20" s="14">
        <v>2.673</v>
      </c>
      <c r="E20" s="15">
        <v>95.95</v>
      </c>
      <c r="F20" s="15">
        <v>93.68</v>
      </c>
      <c r="G20" s="15">
        <v>2.6480000000000001</v>
      </c>
      <c r="H20" s="16"/>
      <c r="I20" s="17">
        <f t="shared" si="1"/>
        <v>0.38847619047619064</v>
      </c>
      <c r="J20" s="17">
        <f t="shared" si="2"/>
        <v>0.44252380952380932</v>
      </c>
      <c r="K20" s="18">
        <f t="shared" si="3"/>
        <v>2.4999999999999911E-2</v>
      </c>
      <c r="M20" s="2">
        <f>ABS(D21-D20)</f>
        <v>0.10099999999999998</v>
      </c>
      <c r="N20" s="2">
        <f>ABS(E21-E20)</f>
        <v>4.2800000000000011</v>
      </c>
      <c r="O20" s="2">
        <f>ABS(F21-F20)</f>
        <v>2.1000000000000085</v>
      </c>
      <c r="P20" s="2">
        <f>ABS(G21-G20)</f>
        <v>0.125</v>
      </c>
      <c r="R20" s="2">
        <f t="shared" si="4"/>
        <v>-0.10099999999999998</v>
      </c>
      <c r="S20" s="2">
        <f t="shared" si="5"/>
        <v>-4.2800000000000011</v>
      </c>
      <c r="T20" s="2">
        <f t="shared" si="6"/>
        <v>-2.1000000000000085</v>
      </c>
      <c r="U20" s="2">
        <f t="shared" si="7"/>
        <v>-0.125</v>
      </c>
      <c r="W20" s="64" t="s">
        <v>18</v>
      </c>
      <c r="X20" s="61">
        <v>0.9791084876205951</v>
      </c>
      <c r="Y20" s="61">
        <v>0.90800704457217329</v>
      </c>
      <c r="Z20" s="61">
        <v>0.9272958325114713</v>
      </c>
      <c r="AA20" s="61">
        <v>1</v>
      </c>
    </row>
    <row r="21" spans="3:27" x14ac:dyDescent="0.15">
      <c r="C21" s="13">
        <v>39478</v>
      </c>
      <c r="D21" s="14">
        <v>2.5720000000000001</v>
      </c>
      <c r="E21" s="15">
        <v>91.67</v>
      </c>
      <c r="F21" s="15">
        <v>91.58</v>
      </c>
      <c r="G21" s="15">
        <v>2.5230000000000001</v>
      </c>
      <c r="H21" s="16"/>
      <c r="I21" s="17">
        <f t="shared" si="1"/>
        <v>0.38938095238095238</v>
      </c>
      <c r="J21" s="17">
        <f t="shared" si="2"/>
        <v>0.39152380952380961</v>
      </c>
      <c r="K21" s="18">
        <f t="shared" si="3"/>
        <v>4.8999999999999932E-2</v>
      </c>
      <c r="M21" s="2">
        <f>ABS(D22-D21)</f>
        <v>0.34299999999999997</v>
      </c>
      <c r="N21" s="2">
        <f>ABS(E22-E21)</f>
        <v>10.11</v>
      </c>
      <c r="O21" s="2">
        <f>ABS(F22-F21)</f>
        <v>9.3200000000000074</v>
      </c>
      <c r="P21" s="2">
        <f>ABS(G22-G21)</f>
        <v>0.28299999999999992</v>
      </c>
      <c r="R21" s="2">
        <f t="shared" si="4"/>
        <v>0.34299999999999997</v>
      </c>
      <c r="S21" s="2">
        <f t="shared" si="5"/>
        <v>10.11</v>
      </c>
      <c r="T21" s="2">
        <f t="shared" si="6"/>
        <v>9.3200000000000074</v>
      </c>
      <c r="U21" s="2">
        <f t="shared" si="7"/>
        <v>0.28299999999999992</v>
      </c>
    </row>
    <row r="22" spans="3:27" x14ac:dyDescent="0.15">
      <c r="C22" s="13">
        <v>39507</v>
      </c>
      <c r="D22" s="14">
        <v>2.915</v>
      </c>
      <c r="E22" s="15">
        <v>101.78</v>
      </c>
      <c r="F22" s="15">
        <v>100.9</v>
      </c>
      <c r="G22" s="15">
        <v>2.806</v>
      </c>
      <c r="H22" s="16"/>
      <c r="I22" s="17">
        <f t="shared" si="1"/>
        <v>0.4916666666666667</v>
      </c>
      <c r="J22" s="17">
        <f t="shared" si="2"/>
        <v>0.51261904761904731</v>
      </c>
      <c r="K22" s="18">
        <f t="shared" si="3"/>
        <v>0.10899999999999999</v>
      </c>
      <c r="M22" s="2">
        <f>ABS(D23-D22)</f>
        <v>0.14599999999999991</v>
      </c>
      <c r="N22" s="2">
        <f>ABS(E23-E22)</f>
        <v>0.23999999999999488</v>
      </c>
      <c r="O22" s="2">
        <f>ABS(F23-F22)</f>
        <v>1.4299999999999926</v>
      </c>
      <c r="P22" s="2">
        <f>ABS(G23-G22)</f>
        <v>0.2719999999999998</v>
      </c>
      <c r="R22" s="2">
        <f t="shared" si="4"/>
        <v>0.14599999999999991</v>
      </c>
      <c r="S22" s="2">
        <f t="shared" si="5"/>
        <v>-0.23999999999999488</v>
      </c>
      <c r="T22" s="2">
        <f t="shared" si="6"/>
        <v>1.4299999999999926</v>
      </c>
      <c r="U22" s="2">
        <f t="shared" si="7"/>
        <v>0.2719999999999998</v>
      </c>
    </row>
    <row r="23" spans="3:27" x14ac:dyDescent="0.15">
      <c r="C23" s="13">
        <v>39538</v>
      </c>
      <c r="D23" s="14">
        <v>3.0609999999999999</v>
      </c>
      <c r="E23" s="15">
        <v>101.54</v>
      </c>
      <c r="F23" s="15">
        <v>102.33</v>
      </c>
      <c r="G23" s="15">
        <v>3.0779999999999998</v>
      </c>
      <c r="H23" s="16"/>
      <c r="I23" s="17">
        <f t="shared" si="1"/>
        <v>0.64338095238095239</v>
      </c>
      <c r="J23" s="17">
        <f t="shared" si="2"/>
        <v>0.62457142857142856</v>
      </c>
      <c r="K23" s="18">
        <f t="shared" si="3"/>
        <v>-1.6999999999999904E-2</v>
      </c>
      <c r="M23" s="2">
        <f>ABS(D24-D23)</f>
        <v>0.26800000000000024</v>
      </c>
      <c r="N23" s="2">
        <f>ABS(E24-E23)</f>
        <v>12.159999999999997</v>
      </c>
      <c r="O23" s="2">
        <f>ABS(F24-F23)</f>
        <v>8.7900000000000063</v>
      </c>
      <c r="P23" s="2">
        <f>ABS(G24-G23)</f>
        <v>0.11699999999999999</v>
      </c>
      <c r="R23" s="2">
        <f t="shared" si="4"/>
        <v>0.26800000000000024</v>
      </c>
      <c r="S23" s="2">
        <f t="shared" si="5"/>
        <v>12.159999999999997</v>
      </c>
      <c r="T23" s="2">
        <f t="shared" si="6"/>
        <v>8.7900000000000063</v>
      </c>
      <c r="U23" s="2">
        <f t="shared" si="7"/>
        <v>0.11699999999999999</v>
      </c>
    </row>
    <row r="24" spans="3:27" x14ac:dyDescent="0.15">
      <c r="C24" s="13">
        <v>39568</v>
      </c>
      <c r="D24" s="14">
        <v>3.3290000000000002</v>
      </c>
      <c r="E24" s="15">
        <v>113.7</v>
      </c>
      <c r="F24" s="15">
        <v>111.12</v>
      </c>
      <c r="G24" s="15">
        <v>3.1949999999999998</v>
      </c>
      <c r="H24" s="16"/>
      <c r="I24" s="17">
        <f t="shared" si="1"/>
        <v>0.62185714285714289</v>
      </c>
      <c r="J24" s="17">
        <f t="shared" si="2"/>
        <v>0.68328571428571427</v>
      </c>
      <c r="K24" s="18">
        <f t="shared" si="3"/>
        <v>0.13400000000000034</v>
      </c>
      <c r="M24" s="2">
        <f>ABS(D25-D24)</f>
        <v>0.40700000000000003</v>
      </c>
      <c r="N24" s="2">
        <f>ABS(E25-E24)</f>
        <v>13.649999999999991</v>
      </c>
      <c r="O24" s="2">
        <f>ABS(F25-F24)</f>
        <v>16.72999999999999</v>
      </c>
      <c r="P24" s="2">
        <f>ABS(G25-G24)</f>
        <v>0.45199999999999996</v>
      </c>
      <c r="R24" s="2">
        <f t="shared" si="4"/>
        <v>0.40700000000000003</v>
      </c>
      <c r="S24" s="2">
        <f t="shared" si="5"/>
        <v>13.649999999999991</v>
      </c>
      <c r="T24" s="2">
        <f t="shared" si="6"/>
        <v>16.72999999999999</v>
      </c>
      <c r="U24" s="2">
        <f t="shared" si="7"/>
        <v>0.45199999999999996</v>
      </c>
    </row>
    <row r="25" spans="3:27" x14ac:dyDescent="0.15">
      <c r="C25" s="13">
        <v>39598</v>
      </c>
      <c r="D25" s="14">
        <v>3.7360000000000002</v>
      </c>
      <c r="E25" s="15">
        <v>127.35</v>
      </c>
      <c r="F25" s="15">
        <v>127.85</v>
      </c>
      <c r="G25" s="15">
        <v>3.6469999999999998</v>
      </c>
      <c r="H25" s="16"/>
      <c r="I25" s="17">
        <f t="shared" si="1"/>
        <v>0.70385714285714318</v>
      </c>
      <c r="J25" s="17">
        <f t="shared" si="2"/>
        <v>0.69195238095238132</v>
      </c>
      <c r="K25" s="18">
        <f t="shared" si="3"/>
        <v>8.9000000000000412E-2</v>
      </c>
      <c r="M25" s="2">
        <f>ABS(D26-D25)</f>
        <v>0.28399999999999936</v>
      </c>
      <c r="N25" s="2">
        <f>ABS(E26-E25)</f>
        <v>12.610000000000014</v>
      </c>
      <c r="O25" s="2">
        <f>ABS(F26-F25)</f>
        <v>10.550000000000011</v>
      </c>
      <c r="P25" s="2">
        <f>ABS(G26-G25)</f>
        <v>0.24300000000000033</v>
      </c>
      <c r="R25" s="2">
        <f t="shared" si="4"/>
        <v>0.28399999999999936</v>
      </c>
      <c r="S25" s="2">
        <f t="shared" si="5"/>
        <v>12.610000000000014</v>
      </c>
      <c r="T25" s="2">
        <f t="shared" si="6"/>
        <v>10.550000000000011</v>
      </c>
      <c r="U25" s="2">
        <f t="shared" si="7"/>
        <v>0.24300000000000033</v>
      </c>
    </row>
    <row r="26" spans="3:27" x14ac:dyDescent="0.15">
      <c r="C26" s="13">
        <v>39629</v>
      </c>
      <c r="D26" s="14">
        <v>4.0199999999999996</v>
      </c>
      <c r="E26" s="15">
        <v>139.96</v>
      </c>
      <c r="F26" s="15">
        <v>138.4</v>
      </c>
      <c r="G26" s="15">
        <v>3.89</v>
      </c>
      <c r="H26" s="16"/>
      <c r="I26" s="17">
        <f t="shared" si="1"/>
        <v>0.68761904761904713</v>
      </c>
      <c r="J26" s="17">
        <f t="shared" si="2"/>
        <v>0.72476190476190405</v>
      </c>
      <c r="K26" s="18">
        <f t="shared" si="3"/>
        <v>0.12999999999999945</v>
      </c>
      <c r="M26" s="2">
        <f>ABS(D27-D26)</f>
        <v>0.46599999999999975</v>
      </c>
      <c r="N26" s="2">
        <f>ABS(E27-E26)</f>
        <v>15.790000000000006</v>
      </c>
      <c r="O26" s="2">
        <f>ABS(F27-F26)</f>
        <v>14.300000000000011</v>
      </c>
      <c r="P26" s="2">
        <f>ABS(G27-G26)</f>
        <v>0.45500000000000007</v>
      </c>
      <c r="R26" s="2">
        <f t="shared" si="4"/>
        <v>-0.46599999999999975</v>
      </c>
      <c r="S26" s="2">
        <f t="shared" si="5"/>
        <v>-15.790000000000006</v>
      </c>
      <c r="T26" s="2">
        <f t="shared" si="6"/>
        <v>-14.300000000000011</v>
      </c>
      <c r="U26" s="2">
        <f t="shared" si="7"/>
        <v>-0.45500000000000007</v>
      </c>
    </row>
    <row r="27" spans="3:27" x14ac:dyDescent="0.15">
      <c r="C27" s="13">
        <v>39660</v>
      </c>
      <c r="D27" s="14">
        <v>3.5539999999999998</v>
      </c>
      <c r="E27" s="15">
        <v>124.17</v>
      </c>
      <c r="F27" s="15">
        <v>124.1</v>
      </c>
      <c r="G27" s="15">
        <v>3.4350000000000001</v>
      </c>
      <c r="H27" s="16"/>
      <c r="I27" s="17">
        <f t="shared" si="1"/>
        <v>0.59757142857142842</v>
      </c>
      <c r="J27" s="17">
        <f t="shared" si="2"/>
        <v>0.59923809523809535</v>
      </c>
      <c r="K27" s="18">
        <f t="shared" si="3"/>
        <v>0.11899999999999977</v>
      </c>
      <c r="M27" s="2">
        <f>ABS(D28-D27)</f>
        <v>0.25800000000000001</v>
      </c>
      <c r="N27" s="2">
        <f>ABS(E28-E27)</f>
        <v>8.6200000000000045</v>
      </c>
      <c r="O27" s="2">
        <f>ABS(F28-F27)</f>
        <v>10.61</v>
      </c>
      <c r="P27" s="2">
        <f>ABS(G28-G27)</f>
        <v>0.28500000000000014</v>
      </c>
      <c r="R27" s="2">
        <f t="shared" si="4"/>
        <v>-0.25800000000000001</v>
      </c>
      <c r="S27" s="2">
        <f t="shared" si="5"/>
        <v>-8.6200000000000045</v>
      </c>
      <c r="T27" s="2">
        <f t="shared" si="6"/>
        <v>-10.61</v>
      </c>
      <c r="U27" s="2">
        <f t="shared" si="7"/>
        <v>-0.28500000000000014</v>
      </c>
    </row>
    <row r="28" spans="3:27" x14ac:dyDescent="0.15">
      <c r="C28" s="13">
        <v>39689</v>
      </c>
      <c r="D28" s="14">
        <v>3.2959999999999998</v>
      </c>
      <c r="E28" s="15">
        <v>115.55</v>
      </c>
      <c r="F28" s="15">
        <v>113.49</v>
      </c>
      <c r="G28" s="15">
        <v>3.15</v>
      </c>
      <c r="H28" s="16"/>
      <c r="I28" s="17">
        <f t="shared" si="1"/>
        <v>0.54480952380952363</v>
      </c>
      <c r="J28" s="17">
        <f t="shared" si="2"/>
        <v>0.59385714285714286</v>
      </c>
      <c r="K28" s="18">
        <f t="shared" si="3"/>
        <v>0.14599999999999991</v>
      </c>
      <c r="M28" s="2">
        <f>ABS(D29-D28)</f>
        <v>0.27400000000000002</v>
      </c>
      <c r="N28" s="2">
        <f>ABS(E29-E28)</f>
        <v>14.849999999999994</v>
      </c>
      <c r="O28" s="2">
        <f>ABS(F29-F28)</f>
        <v>19.97</v>
      </c>
      <c r="P28" s="2">
        <f>ABS(G29-G28)</f>
        <v>0.29899999999999993</v>
      </c>
      <c r="R28" s="2">
        <f t="shared" si="4"/>
        <v>-0.27400000000000002</v>
      </c>
      <c r="S28" s="2">
        <f t="shared" si="5"/>
        <v>-14.849999999999994</v>
      </c>
      <c r="T28" s="2">
        <f t="shared" si="6"/>
        <v>-19.97</v>
      </c>
      <c r="U28" s="2">
        <f t="shared" si="7"/>
        <v>-0.29899999999999993</v>
      </c>
    </row>
    <row r="29" spans="3:27" x14ac:dyDescent="0.15">
      <c r="C29" s="13">
        <v>39721</v>
      </c>
      <c r="D29" s="14">
        <v>3.0219999999999998</v>
      </c>
      <c r="E29" s="15">
        <v>100.7</v>
      </c>
      <c r="F29" s="15">
        <v>93.52</v>
      </c>
      <c r="G29" s="15">
        <v>2.851</v>
      </c>
      <c r="H29" s="16"/>
      <c r="I29" s="17">
        <f t="shared" si="1"/>
        <v>0.62438095238095226</v>
      </c>
      <c r="J29" s="17">
        <f t="shared" si="2"/>
        <v>0.79533333333333323</v>
      </c>
      <c r="K29" s="18">
        <f t="shared" si="3"/>
        <v>0.17099999999999982</v>
      </c>
      <c r="M29" s="2">
        <f>ABS(D30-D29)</f>
        <v>0.92799999999999994</v>
      </c>
      <c r="N29" s="2">
        <f>ABS(E30-E29)</f>
        <v>32.600000000000009</v>
      </c>
      <c r="O29" s="2">
        <f>ABS(F30-F29)</f>
        <v>33.519999999999996</v>
      </c>
      <c r="P29" s="2">
        <f>ABS(G30-G29)</f>
        <v>0.76600000000000001</v>
      </c>
      <c r="R29" s="2">
        <f t="shared" si="4"/>
        <v>-0.92799999999999994</v>
      </c>
      <c r="S29" s="2">
        <f t="shared" si="5"/>
        <v>-32.600000000000009</v>
      </c>
      <c r="T29" s="2">
        <f t="shared" si="6"/>
        <v>-33.519999999999996</v>
      </c>
      <c r="U29" s="2">
        <f t="shared" si="7"/>
        <v>-0.76600000000000001</v>
      </c>
    </row>
    <row r="30" spans="3:27" x14ac:dyDescent="0.15">
      <c r="C30" s="13">
        <v>39752</v>
      </c>
      <c r="D30" s="14">
        <v>2.0939999999999999</v>
      </c>
      <c r="E30" s="15">
        <v>68.099999999999994</v>
      </c>
      <c r="F30" s="15">
        <v>60</v>
      </c>
      <c r="G30" s="15">
        <v>2.085</v>
      </c>
      <c r="H30" s="16"/>
      <c r="I30" s="17">
        <f t="shared" si="1"/>
        <v>0.47257142857142864</v>
      </c>
      <c r="J30" s="17">
        <f t="shared" si="2"/>
        <v>0.66542857142857126</v>
      </c>
      <c r="K30" s="18">
        <f t="shared" si="3"/>
        <v>8.999999999999897E-3</v>
      </c>
      <c r="M30" s="2">
        <f>ABS(D31-D30)</f>
        <v>0.33399999999999985</v>
      </c>
      <c r="N30" s="2">
        <f>ABS(E31-E30)</f>
        <v>12.889999999999993</v>
      </c>
      <c r="O30" s="2">
        <f>ABS(F31-F30)</f>
        <v>12.280000000000001</v>
      </c>
      <c r="P30" s="2">
        <f>ABS(G31-G30)</f>
        <v>0.38900000000000001</v>
      </c>
      <c r="R30" s="2">
        <f t="shared" si="4"/>
        <v>-0.33399999999999985</v>
      </c>
      <c r="S30" s="2">
        <f t="shared" si="5"/>
        <v>-12.889999999999993</v>
      </c>
      <c r="T30" s="2">
        <f t="shared" si="6"/>
        <v>-12.280000000000001</v>
      </c>
      <c r="U30" s="2">
        <f t="shared" si="7"/>
        <v>-0.38900000000000001</v>
      </c>
    </row>
    <row r="31" spans="3:27" x14ac:dyDescent="0.15">
      <c r="C31" s="13">
        <v>39780</v>
      </c>
      <c r="D31" s="14">
        <v>1.76</v>
      </c>
      <c r="E31" s="15">
        <v>55.21</v>
      </c>
      <c r="F31" s="15">
        <v>47.72</v>
      </c>
      <c r="G31" s="15">
        <v>1.696</v>
      </c>
      <c r="H31" s="16"/>
      <c r="I31" s="17">
        <f t="shared" si="1"/>
        <v>0.44547619047619036</v>
      </c>
      <c r="J31" s="17">
        <f t="shared" si="2"/>
        <v>0.62380952380952381</v>
      </c>
      <c r="K31" s="18">
        <f t="shared" si="3"/>
        <v>6.4000000000000057E-2</v>
      </c>
      <c r="M31" s="2">
        <f>ABS(D32-D31)</f>
        <v>0.43999999999999995</v>
      </c>
      <c r="N31" s="2">
        <f>ABS(E32-E31)</f>
        <v>10.61</v>
      </c>
      <c r="O31" s="2">
        <f>ABS(F32-F31)</f>
        <v>11.899999999999999</v>
      </c>
      <c r="P31" s="2">
        <f>ABS(G32-G31)</f>
        <v>0.3819999999999999</v>
      </c>
      <c r="R31" s="2">
        <f t="shared" si="4"/>
        <v>-0.43999999999999995</v>
      </c>
      <c r="S31" s="2">
        <f t="shared" si="5"/>
        <v>-10.61</v>
      </c>
      <c r="T31" s="2">
        <f t="shared" si="6"/>
        <v>-11.899999999999999</v>
      </c>
      <c r="U31" s="2">
        <f t="shared" si="7"/>
        <v>-0.3819999999999999</v>
      </c>
    </row>
    <row r="32" spans="3:27" x14ac:dyDescent="0.15">
      <c r="C32" s="13">
        <v>39813</v>
      </c>
      <c r="D32" s="14">
        <v>1.32</v>
      </c>
      <c r="E32" s="15">
        <v>44.6</v>
      </c>
      <c r="F32" s="15">
        <v>35.82</v>
      </c>
      <c r="G32" s="15">
        <v>1.3140000000000001</v>
      </c>
      <c r="H32" s="16"/>
      <c r="I32" s="17">
        <f t="shared" si="1"/>
        <v>0.25809523809523816</v>
      </c>
      <c r="J32" s="17">
        <f t="shared" si="2"/>
        <v>0.46714285714285719</v>
      </c>
      <c r="K32" s="18">
        <f t="shared" si="3"/>
        <v>6.0000000000000053E-3</v>
      </c>
      <c r="M32" s="2">
        <f>ABS(D33-D32)</f>
        <v>9.5999999999999863E-2</v>
      </c>
      <c r="N32" s="2">
        <f>ABS(E33-E32)</f>
        <v>2.8700000000000045</v>
      </c>
      <c r="O32" s="2">
        <f>ABS(F33-F32)</f>
        <v>8.3500000000000014</v>
      </c>
      <c r="P32" s="2">
        <f>ABS(G33-G32)</f>
        <v>0.123</v>
      </c>
      <c r="R32" s="2">
        <f t="shared" si="4"/>
        <v>9.5999999999999863E-2</v>
      </c>
      <c r="S32" s="2">
        <f t="shared" si="5"/>
        <v>-2.8700000000000045</v>
      </c>
      <c r="T32" s="2">
        <f t="shared" si="6"/>
        <v>8.3500000000000014</v>
      </c>
      <c r="U32" s="2">
        <f t="shared" si="7"/>
        <v>0.123</v>
      </c>
    </row>
    <row r="33" spans="3:21" x14ac:dyDescent="0.15">
      <c r="C33" s="13">
        <v>39843</v>
      </c>
      <c r="D33" s="14">
        <v>1.4159999999999999</v>
      </c>
      <c r="E33" s="15">
        <v>41.73</v>
      </c>
      <c r="F33" s="15">
        <v>44.17</v>
      </c>
      <c r="G33" s="15">
        <v>1.4370000000000001</v>
      </c>
      <c r="H33" s="16"/>
      <c r="I33" s="17">
        <f t="shared" si="1"/>
        <v>0.42242857142857138</v>
      </c>
      <c r="J33" s="17">
        <f t="shared" si="2"/>
        <v>0.36433333333333318</v>
      </c>
      <c r="K33" s="18">
        <f t="shared" si="3"/>
        <v>-2.100000000000013E-2</v>
      </c>
      <c r="M33" s="2">
        <f>ABS(D34-D33)</f>
        <v>0.15100000000000002</v>
      </c>
      <c r="N33" s="2">
        <f>ABS(E34-E33)</f>
        <v>2.4200000000000017</v>
      </c>
      <c r="O33" s="2">
        <f>ABS(F34-F33)</f>
        <v>0.23999999999999488</v>
      </c>
      <c r="P33" s="2">
        <f>ABS(G34-G33)</f>
        <v>0.16600000000000015</v>
      </c>
      <c r="R33" s="2">
        <f t="shared" si="4"/>
        <v>-0.15100000000000002</v>
      </c>
      <c r="S33" s="2">
        <f t="shared" si="5"/>
        <v>2.4200000000000017</v>
      </c>
      <c r="T33" s="2">
        <f t="shared" si="6"/>
        <v>0.23999999999999488</v>
      </c>
      <c r="U33" s="2">
        <f t="shared" si="7"/>
        <v>-0.16600000000000015</v>
      </c>
    </row>
    <row r="34" spans="3:21" x14ac:dyDescent="0.15">
      <c r="C34" s="13">
        <v>39871</v>
      </c>
      <c r="D34" s="14">
        <v>1.2649999999999999</v>
      </c>
      <c r="E34" s="15">
        <v>44.15</v>
      </c>
      <c r="F34" s="15">
        <v>44.41</v>
      </c>
      <c r="G34" s="15">
        <v>1.2709999999999999</v>
      </c>
      <c r="H34" s="16"/>
      <c r="I34" s="17">
        <f t="shared" si="1"/>
        <v>0.21380952380952367</v>
      </c>
      <c r="J34" s="17">
        <f t="shared" si="2"/>
        <v>0.20761904761904759</v>
      </c>
      <c r="K34" s="18">
        <f t="shared" si="3"/>
        <v>-6.0000000000000053E-3</v>
      </c>
      <c r="M34" s="2">
        <f>ABS(D35-D34)</f>
        <v>7.6000000000000068E-2</v>
      </c>
      <c r="N34" s="2">
        <f>ABS(E35-E34)</f>
        <v>5.490000000000002</v>
      </c>
      <c r="O34" s="2">
        <f>ABS(F35-F34)</f>
        <v>1.720000000000006</v>
      </c>
      <c r="P34" s="2">
        <f>ABS(G35-G34)</f>
        <v>6.5000000000000169E-2</v>
      </c>
      <c r="R34" s="2">
        <f t="shared" si="4"/>
        <v>7.6000000000000068E-2</v>
      </c>
      <c r="S34" s="2">
        <f t="shared" si="5"/>
        <v>5.490000000000002</v>
      </c>
      <c r="T34" s="2">
        <f t="shared" si="6"/>
        <v>1.720000000000006</v>
      </c>
      <c r="U34" s="2">
        <f t="shared" si="7"/>
        <v>6.5000000000000169E-2</v>
      </c>
    </row>
    <row r="35" spans="3:21" x14ac:dyDescent="0.15">
      <c r="C35" s="13">
        <v>39903</v>
      </c>
      <c r="D35" s="14">
        <v>1.341</v>
      </c>
      <c r="E35" s="15">
        <v>49.64</v>
      </c>
      <c r="F35" s="15">
        <v>46.13</v>
      </c>
      <c r="G35" s="15">
        <v>1.3360000000000001</v>
      </c>
      <c r="H35" s="16"/>
      <c r="I35" s="17">
        <f t="shared" si="1"/>
        <v>0.15909523809523796</v>
      </c>
      <c r="J35" s="17">
        <f t="shared" si="2"/>
        <v>0.24266666666666659</v>
      </c>
      <c r="K35" s="18">
        <f t="shared" si="3"/>
        <v>4.9999999999998934E-3</v>
      </c>
      <c r="M35" s="2">
        <f>ABS(D36-D35)</f>
        <v>4.6999999999999931E-2</v>
      </c>
      <c r="N35" s="2">
        <f>ABS(E36-E35)</f>
        <v>0.71000000000000085</v>
      </c>
      <c r="O35" s="2">
        <f>ABS(F36-F35)</f>
        <v>4.1699999999999946</v>
      </c>
      <c r="P35" s="2">
        <f>ABS(G36-G35)</f>
        <v>3.7000000000000144E-2</v>
      </c>
      <c r="R35" s="2">
        <f t="shared" si="4"/>
        <v>-4.6999999999999931E-2</v>
      </c>
      <c r="S35" s="2">
        <f t="shared" si="5"/>
        <v>0.71000000000000085</v>
      </c>
      <c r="T35" s="2">
        <f t="shared" si="6"/>
        <v>4.1699999999999946</v>
      </c>
      <c r="U35" s="2">
        <f t="shared" si="7"/>
        <v>-3.7000000000000144E-2</v>
      </c>
    </row>
    <row r="36" spans="3:21" x14ac:dyDescent="0.15">
      <c r="C36" s="13">
        <v>39933</v>
      </c>
      <c r="D36" s="14">
        <v>1.294</v>
      </c>
      <c r="E36" s="15">
        <v>50.35</v>
      </c>
      <c r="F36" s="15">
        <v>50.3</v>
      </c>
      <c r="G36" s="15">
        <v>1.2989999999999999</v>
      </c>
      <c r="H36" s="16"/>
      <c r="I36" s="17">
        <f t="shared" si="1"/>
        <v>9.519047619047627E-2</v>
      </c>
      <c r="J36" s="17">
        <f t="shared" si="2"/>
        <v>9.6380952380952456E-2</v>
      </c>
      <c r="K36" s="18">
        <f t="shared" si="3"/>
        <v>-4.9999999999998934E-3</v>
      </c>
      <c r="M36" s="2">
        <f>ABS(D37-D36)</f>
        <v>0.37799999999999989</v>
      </c>
      <c r="N36" s="2">
        <f>ABS(E37-E36)</f>
        <v>15.96</v>
      </c>
      <c r="O36" s="2">
        <f>ABS(F37-F36)</f>
        <v>14.680000000000007</v>
      </c>
      <c r="P36" s="2">
        <f>ABS(G37-G36)</f>
        <v>0.33699999999999997</v>
      </c>
      <c r="R36" s="2">
        <f t="shared" si="4"/>
        <v>0.37799999999999989</v>
      </c>
      <c r="S36" s="2">
        <f t="shared" si="5"/>
        <v>15.96</v>
      </c>
      <c r="T36" s="2">
        <f t="shared" si="6"/>
        <v>14.680000000000007</v>
      </c>
      <c r="U36" s="2">
        <f t="shared" si="7"/>
        <v>0.33699999999999997</v>
      </c>
    </row>
    <row r="37" spans="3:21" x14ac:dyDescent="0.15">
      <c r="C37" s="13">
        <v>39962</v>
      </c>
      <c r="D37" s="14">
        <v>1.6719999999999999</v>
      </c>
      <c r="E37" s="15">
        <v>66.31</v>
      </c>
      <c r="F37" s="15">
        <v>64.98</v>
      </c>
      <c r="G37" s="15">
        <v>1.6359999999999999</v>
      </c>
      <c r="H37" s="16"/>
      <c r="I37" s="17">
        <f t="shared" si="1"/>
        <v>9.3190476190476046E-2</v>
      </c>
      <c r="J37" s="17">
        <f t="shared" si="2"/>
        <v>0.12485714285714278</v>
      </c>
      <c r="K37" s="18">
        <f t="shared" si="3"/>
        <v>3.6000000000000032E-2</v>
      </c>
      <c r="M37" s="2">
        <f>ABS(D38-D37)</f>
        <v>0.1160000000000001</v>
      </c>
      <c r="N37" s="2">
        <f>ABS(E38-E37)</f>
        <v>3.5099999999999909</v>
      </c>
      <c r="O37" s="2">
        <f>ABS(F38-F37)</f>
        <v>3.1299999999999955</v>
      </c>
      <c r="P37" s="2">
        <f>ABS(G38-G37)</f>
        <v>7.9000000000000181E-2</v>
      </c>
      <c r="R37" s="2">
        <f t="shared" si="4"/>
        <v>0.1160000000000001</v>
      </c>
      <c r="S37" s="2">
        <f t="shared" si="5"/>
        <v>3.5099999999999909</v>
      </c>
      <c r="T37" s="2">
        <f t="shared" si="6"/>
        <v>3.1299999999999955</v>
      </c>
      <c r="U37" s="2">
        <f t="shared" si="7"/>
        <v>7.9000000000000181E-2</v>
      </c>
    </row>
    <row r="38" spans="3:21" x14ac:dyDescent="0.15">
      <c r="C38" s="13">
        <v>39994</v>
      </c>
      <c r="D38" s="14">
        <v>1.788</v>
      </c>
      <c r="E38" s="15">
        <v>69.819999999999993</v>
      </c>
      <c r="F38" s="15">
        <v>68.11</v>
      </c>
      <c r="G38" s="15">
        <v>1.7150000000000001</v>
      </c>
      <c r="H38" s="16"/>
      <c r="I38" s="17">
        <f t="shared" si="1"/>
        <v>0.12561904761904774</v>
      </c>
      <c r="J38" s="17">
        <f t="shared" si="2"/>
        <v>0.16633333333333344</v>
      </c>
      <c r="K38" s="18">
        <f t="shared" si="3"/>
        <v>7.2999999999999954E-2</v>
      </c>
      <c r="M38" s="2">
        <f>ABS(D39-D38)</f>
        <v>4.2999999999999927E-2</v>
      </c>
      <c r="N38" s="2">
        <f>ABS(E39-E38)</f>
        <v>0.55999999999998806</v>
      </c>
      <c r="O38" s="2">
        <f>ABS(F39-F38)</f>
        <v>1.9699999999999989</v>
      </c>
      <c r="P38" s="2">
        <f>ABS(G39-G38)</f>
        <v>7.7999999999999847E-2</v>
      </c>
      <c r="R38" s="2">
        <f t="shared" si="4"/>
        <v>4.2999999999999927E-2</v>
      </c>
      <c r="S38" s="2">
        <f t="shared" si="5"/>
        <v>-0.55999999999998806</v>
      </c>
      <c r="T38" s="2">
        <f t="shared" si="6"/>
        <v>1.9699999999999989</v>
      </c>
      <c r="U38" s="2">
        <f t="shared" si="7"/>
        <v>7.7999999999999847E-2</v>
      </c>
    </row>
    <row r="39" spans="3:21" x14ac:dyDescent="0.15">
      <c r="C39" s="13">
        <v>40025</v>
      </c>
      <c r="D39" s="14">
        <v>1.831</v>
      </c>
      <c r="E39" s="15">
        <v>69.260000000000005</v>
      </c>
      <c r="F39" s="15">
        <v>70.08</v>
      </c>
      <c r="G39" s="15">
        <v>1.7929999999999999</v>
      </c>
      <c r="H39" s="16"/>
      <c r="I39" s="17">
        <f t="shared" si="1"/>
        <v>0.18195238095238087</v>
      </c>
      <c r="J39" s="17">
        <f t="shared" si="2"/>
        <v>0.16242857142857137</v>
      </c>
      <c r="K39" s="18">
        <f t="shared" si="3"/>
        <v>3.8000000000000034E-2</v>
      </c>
      <c r="M39" s="2">
        <f>ABS(D40-D39)</f>
        <v>5.0000000000000044E-2</v>
      </c>
      <c r="N39" s="2">
        <f>ABS(E40-E39)</f>
        <v>0.70999999999999375</v>
      </c>
      <c r="O39" s="2">
        <f>ABS(F40-F39)</f>
        <v>1.0600000000000023</v>
      </c>
      <c r="P39" s="2">
        <f>ABS(G40-G39)</f>
        <v>2.0000000000000018E-2</v>
      </c>
      <c r="R39" s="2">
        <f t="shared" si="4"/>
        <v>-5.0000000000000044E-2</v>
      </c>
      <c r="S39" s="2">
        <f t="shared" si="5"/>
        <v>0.70999999999999375</v>
      </c>
      <c r="T39" s="2">
        <f t="shared" si="6"/>
        <v>-1.0600000000000023</v>
      </c>
      <c r="U39" s="2">
        <f t="shared" si="7"/>
        <v>-2.0000000000000018E-2</v>
      </c>
    </row>
    <row r="40" spans="3:21" x14ac:dyDescent="0.15">
      <c r="C40" s="13">
        <v>40056</v>
      </c>
      <c r="D40" s="14">
        <v>1.7809999999999999</v>
      </c>
      <c r="E40" s="15">
        <v>69.97</v>
      </c>
      <c r="F40" s="15">
        <v>69.02</v>
      </c>
      <c r="G40" s="15">
        <v>1.7729999999999999</v>
      </c>
      <c r="H40" s="16"/>
      <c r="I40" s="17">
        <f t="shared" si="1"/>
        <v>0.11504761904761907</v>
      </c>
      <c r="J40" s="17">
        <f t="shared" si="2"/>
        <v>0.1376666666666666</v>
      </c>
      <c r="K40" s="18">
        <f t="shared" si="3"/>
        <v>8.0000000000000071E-3</v>
      </c>
      <c r="M40" s="2">
        <f>ABS(D41-D40)</f>
        <v>1.3000000000000123E-2</v>
      </c>
      <c r="N40" s="2">
        <f>ABS(E41-E40)</f>
        <v>0.48999999999999488</v>
      </c>
      <c r="O40" s="2">
        <f>ABS(F41-F40)</f>
        <v>3.2000000000000028</v>
      </c>
      <c r="P40" s="2">
        <f>ABS(G41-G40)</f>
        <v>3.2000000000000028E-2</v>
      </c>
      <c r="R40" s="2">
        <f t="shared" si="4"/>
        <v>1.3000000000000123E-2</v>
      </c>
      <c r="S40" s="2">
        <f t="shared" si="5"/>
        <v>0.48999999999999488</v>
      </c>
      <c r="T40" s="2">
        <f t="shared" si="6"/>
        <v>-3.2000000000000028</v>
      </c>
      <c r="U40" s="2">
        <f t="shared" si="7"/>
        <v>3.2000000000000028E-2</v>
      </c>
    </row>
    <row r="41" spans="3:21" x14ac:dyDescent="0.15">
      <c r="C41" s="13">
        <v>40086</v>
      </c>
      <c r="D41" s="14">
        <v>1.794</v>
      </c>
      <c r="E41" s="15">
        <v>70.459999999999994</v>
      </c>
      <c r="F41" s="15">
        <v>65.819999999999993</v>
      </c>
      <c r="G41" s="15">
        <v>1.8049999999999999</v>
      </c>
      <c r="H41" s="16"/>
      <c r="I41" s="17">
        <f t="shared" si="1"/>
        <v>0.11638095238095247</v>
      </c>
      <c r="J41" s="17">
        <f t="shared" si="2"/>
        <v>0.22685714285714309</v>
      </c>
      <c r="K41" s="18">
        <f t="shared" si="3"/>
        <v>-1.0999999999999899E-2</v>
      </c>
      <c r="M41" s="2">
        <f>ABS(D42-D41)</f>
        <v>0.18199999999999994</v>
      </c>
      <c r="N41" s="2">
        <f>ABS(E42-E41)</f>
        <v>6.5800000000000125</v>
      </c>
      <c r="O41" s="2">
        <f>ABS(F42-F41)</f>
        <v>9.0900000000000034</v>
      </c>
      <c r="P41" s="2">
        <f>ABS(G42-G41)</f>
        <v>0.16000000000000014</v>
      </c>
      <c r="R41" s="2">
        <f t="shared" si="4"/>
        <v>0.18199999999999994</v>
      </c>
      <c r="S41" s="2">
        <f t="shared" si="5"/>
        <v>6.5800000000000125</v>
      </c>
      <c r="T41" s="2">
        <f t="shared" si="6"/>
        <v>9.0900000000000034</v>
      </c>
      <c r="U41" s="2">
        <f t="shared" si="7"/>
        <v>0.16000000000000014</v>
      </c>
    </row>
    <row r="42" spans="3:21" x14ac:dyDescent="0.15">
      <c r="C42" s="13">
        <v>40116</v>
      </c>
      <c r="D42" s="14">
        <v>1.976</v>
      </c>
      <c r="E42" s="15">
        <v>77.040000000000006</v>
      </c>
      <c r="F42" s="15">
        <v>74.91</v>
      </c>
      <c r="G42" s="15">
        <v>1.9650000000000001</v>
      </c>
      <c r="H42" s="16"/>
      <c r="I42" s="17">
        <f t="shared" si="1"/>
        <v>0.14171428571428546</v>
      </c>
      <c r="J42" s="17">
        <f t="shared" si="2"/>
        <v>0.19242857142857139</v>
      </c>
      <c r="K42" s="18">
        <f t="shared" si="3"/>
        <v>1.0999999999999899E-2</v>
      </c>
      <c r="M42" s="2">
        <f>ABS(D43-D42)</f>
        <v>2.8000000000000025E-2</v>
      </c>
      <c r="N42" s="2">
        <f>ABS(E43-E42)</f>
        <v>0.14999999999999147</v>
      </c>
      <c r="O42" s="2">
        <f>ABS(F43-F42)</f>
        <v>2.8599999999999994</v>
      </c>
      <c r="P42" s="2">
        <f>ABS(G43-G42)</f>
        <v>1.8999999999999906E-2</v>
      </c>
      <c r="R42" s="2">
        <f t="shared" si="4"/>
        <v>2.8000000000000025E-2</v>
      </c>
      <c r="S42" s="2">
        <f t="shared" si="5"/>
        <v>0.14999999999999147</v>
      </c>
      <c r="T42" s="2">
        <f t="shared" si="6"/>
        <v>2.8599999999999994</v>
      </c>
      <c r="U42" s="2">
        <f t="shared" si="7"/>
        <v>1.8999999999999906E-2</v>
      </c>
    </row>
    <row r="43" spans="3:21" x14ac:dyDescent="0.15">
      <c r="C43" s="13">
        <v>40147</v>
      </c>
      <c r="D43" s="14">
        <v>2.004</v>
      </c>
      <c r="E43" s="15">
        <v>77.19</v>
      </c>
      <c r="F43" s="15">
        <v>77.77</v>
      </c>
      <c r="G43" s="15">
        <v>1.984</v>
      </c>
      <c r="H43" s="16"/>
      <c r="I43" s="17">
        <f t="shared" si="1"/>
        <v>0.16614285714285715</v>
      </c>
      <c r="J43" s="17">
        <f t="shared" si="2"/>
        <v>0.15233333333333343</v>
      </c>
      <c r="K43" s="18">
        <f t="shared" si="3"/>
        <v>2.0000000000000018E-2</v>
      </c>
      <c r="M43" s="2">
        <f>ABS(D44-D43)</f>
        <v>8.4000000000000075E-2</v>
      </c>
      <c r="N43" s="2">
        <f>ABS(E44-E43)</f>
        <v>2.2000000000000028</v>
      </c>
      <c r="O43" s="2">
        <f>ABS(F44-F43)</f>
        <v>0.14000000000000057</v>
      </c>
      <c r="P43" s="2">
        <f>ABS(G44-G43)</f>
        <v>0.125</v>
      </c>
      <c r="R43" s="2">
        <f t="shared" si="4"/>
        <v>8.4000000000000075E-2</v>
      </c>
      <c r="S43" s="2">
        <f t="shared" si="5"/>
        <v>2.2000000000000028</v>
      </c>
      <c r="T43" s="2">
        <f t="shared" si="6"/>
        <v>0.14000000000000057</v>
      </c>
      <c r="U43" s="2">
        <f t="shared" si="7"/>
        <v>0.125</v>
      </c>
    </row>
    <row r="44" spans="3:21" x14ac:dyDescent="0.15">
      <c r="C44" s="13">
        <v>40178</v>
      </c>
      <c r="D44" s="14">
        <v>2.0880000000000001</v>
      </c>
      <c r="E44" s="15">
        <v>79.39</v>
      </c>
      <c r="F44" s="15">
        <v>77.91</v>
      </c>
      <c r="G44" s="15">
        <v>2.109</v>
      </c>
      <c r="H44" s="16"/>
      <c r="I44" s="17">
        <f t="shared" si="1"/>
        <v>0.19776190476190481</v>
      </c>
      <c r="J44" s="17">
        <f t="shared" si="2"/>
        <v>0.2330000000000001</v>
      </c>
      <c r="K44" s="18">
        <f t="shared" si="3"/>
        <v>-2.0999999999999908E-2</v>
      </c>
      <c r="M44" s="2">
        <f>ABS(D45-D44)</f>
        <v>0.17800000000000016</v>
      </c>
      <c r="N44" s="2">
        <f>ABS(E45-E44)</f>
        <v>6.5400000000000063</v>
      </c>
      <c r="O44" s="2">
        <f>ABS(F45-F44)</f>
        <v>6.7099999999999937</v>
      </c>
      <c r="P44" s="2">
        <f>ABS(G45-G44)</f>
        <v>0.21500000000000008</v>
      </c>
      <c r="R44" s="2">
        <f t="shared" si="4"/>
        <v>-0.17800000000000016</v>
      </c>
      <c r="S44" s="2">
        <f t="shared" si="5"/>
        <v>-6.5400000000000063</v>
      </c>
      <c r="T44" s="2">
        <f t="shared" si="6"/>
        <v>-6.7099999999999937</v>
      </c>
      <c r="U44" s="2">
        <f t="shared" si="7"/>
        <v>-0.21500000000000008</v>
      </c>
    </row>
    <row r="45" spans="3:21" x14ac:dyDescent="0.15">
      <c r="C45" s="13">
        <v>40207</v>
      </c>
      <c r="D45" s="14">
        <v>1.91</v>
      </c>
      <c r="E45" s="15">
        <v>72.849999999999994</v>
      </c>
      <c r="F45" s="15">
        <v>71.2</v>
      </c>
      <c r="G45" s="15">
        <v>1.8939999999999999</v>
      </c>
      <c r="H45" s="16"/>
      <c r="I45" s="17">
        <f t="shared" si="1"/>
        <v>0.17547619047619056</v>
      </c>
      <c r="J45" s="17">
        <f t="shared" si="2"/>
        <v>0.21476190476190471</v>
      </c>
      <c r="K45" s="18">
        <f t="shared" si="3"/>
        <v>1.6000000000000014E-2</v>
      </c>
      <c r="M45" s="2">
        <f>ABS(D46-D45)</f>
        <v>0.14500000000000024</v>
      </c>
      <c r="N45" s="2">
        <f>ABS(E46-E45)</f>
        <v>6.8700000000000045</v>
      </c>
      <c r="O45" s="2">
        <f>ABS(F46-F45)</f>
        <v>5.1599999999999966</v>
      </c>
      <c r="P45" s="2">
        <f>ABS(G46-G45)</f>
        <v>0.12600000000000011</v>
      </c>
      <c r="R45" s="2">
        <f t="shared" si="4"/>
        <v>0.14500000000000024</v>
      </c>
      <c r="S45" s="2">
        <f t="shared" si="5"/>
        <v>6.8700000000000045</v>
      </c>
      <c r="T45" s="2">
        <f t="shared" si="6"/>
        <v>5.1599999999999966</v>
      </c>
      <c r="U45" s="2">
        <f t="shared" si="7"/>
        <v>0.12600000000000011</v>
      </c>
    </row>
    <row r="46" spans="3:21" x14ac:dyDescent="0.15">
      <c r="C46" s="13">
        <v>40235</v>
      </c>
      <c r="D46" s="14">
        <v>2.0550000000000002</v>
      </c>
      <c r="E46" s="15">
        <v>79.72</v>
      </c>
      <c r="F46" s="15">
        <v>76.36</v>
      </c>
      <c r="G46" s="15">
        <v>2.02</v>
      </c>
      <c r="H46" s="16"/>
      <c r="I46" s="17">
        <f t="shared" si="1"/>
        <v>0.1569047619047621</v>
      </c>
      <c r="J46" s="17">
        <f t="shared" si="2"/>
        <v>0.23690476190476217</v>
      </c>
      <c r="K46" s="18">
        <f t="shared" si="3"/>
        <v>3.5000000000000142E-2</v>
      </c>
      <c r="M46" s="2">
        <f>ABS(D47-D46)</f>
        <v>0.13300000000000001</v>
      </c>
      <c r="N46" s="2">
        <f>ABS(E47-E46)</f>
        <v>3.730000000000004</v>
      </c>
      <c r="O46" s="2">
        <f>ABS(F47-F46)</f>
        <v>4.0100000000000051</v>
      </c>
      <c r="P46" s="2">
        <f>ABS(G47-G46)</f>
        <v>0.1419999999999999</v>
      </c>
      <c r="R46" s="2">
        <f t="shared" si="4"/>
        <v>0.13300000000000001</v>
      </c>
      <c r="S46" s="2">
        <f t="shared" si="5"/>
        <v>3.730000000000004</v>
      </c>
      <c r="T46" s="2">
        <f t="shared" si="6"/>
        <v>4.0100000000000051</v>
      </c>
      <c r="U46" s="2">
        <f t="shared" si="7"/>
        <v>0.1419999999999999</v>
      </c>
    </row>
    <row r="47" spans="3:21" x14ac:dyDescent="0.15">
      <c r="C47" s="13">
        <v>40268</v>
      </c>
      <c r="D47" s="14">
        <v>2.1880000000000002</v>
      </c>
      <c r="E47" s="15">
        <v>83.45</v>
      </c>
      <c r="F47" s="15">
        <v>80.37</v>
      </c>
      <c r="G47" s="15">
        <v>2.1619999999999999</v>
      </c>
      <c r="H47" s="16"/>
      <c r="I47" s="17">
        <f t="shared" si="1"/>
        <v>0.20109523809523822</v>
      </c>
      <c r="J47" s="17">
        <f t="shared" si="2"/>
        <v>0.27442857142857147</v>
      </c>
      <c r="K47" s="18">
        <f t="shared" si="3"/>
        <v>2.6000000000000245E-2</v>
      </c>
      <c r="M47" s="2">
        <f>ABS(D48-D47)</f>
        <v>0.13599999999999968</v>
      </c>
      <c r="N47" s="2">
        <f>ABS(E48-E47)</f>
        <v>2.6199999999999903</v>
      </c>
      <c r="O47" s="2">
        <f>ABS(F48-F47)</f>
        <v>5.8199999999999932</v>
      </c>
      <c r="P47" s="2">
        <f>ABS(G48-G47)</f>
        <v>0.1030000000000002</v>
      </c>
      <c r="R47" s="2">
        <f t="shared" si="4"/>
        <v>0.13599999999999968</v>
      </c>
      <c r="S47" s="2">
        <f t="shared" si="5"/>
        <v>2.6199999999999903</v>
      </c>
      <c r="T47" s="2">
        <f t="shared" si="6"/>
        <v>5.8199999999999932</v>
      </c>
      <c r="U47" s="2">
        <f t="shared" si="7"/>
        <v>0.1030000000000002</v>
      </c>
    </row>
    <row r="48" spans="3:21" x14ac:dyDescent="0.15">
      <c r="C48" s="13">
        <v>40298</v>
      </c>
      <c r="D48" s="14">
        <v>2.3239999999999998</v>
      </c>
      <c r="E48" s="15">
        <v>86.07</v>
      </c>
      <c r="F48" s="15">
        <v>86.19</v>
      </c>
      <c r="G48" s="15">
        <v>2.2650000000000001</v>
      </c>
      <c r="H48" s="16"/>
      <c r="I48" s="17">
        <f t="shared" si="1"/>
        <v>0.27471428571428591</v>
      </c>
      <c r="J48" s="17">
        <f t="shared" si="2"/>
        <v>0.2718571428571428</v>
      </c>
      <c r="K48" s="18">
        <f t="shared" si="3"/>
        <v>5.8999999999999719E-2</v>
      </c>
      <c r="M48" s="2">
        <f>ABS(D49-D48)</f>
        <v>0.2849999999999997</v>
      </c>
      <c r="N48" s="2">
        <f>ABS(E49-E48)</f>
        <v>12.069999999999993</v>
      </c>
      <c r="O48" s="2">
        <f>ABS(F49-F48)</f>
        <v>13.189999999999998</v>
      </c>
      <c r="P48" s="2">
        <f>ABS(G49-G48)</f>
        <v>0.25900000000000034</v>
      </c>
      <c r="R48" s="2">
        <f t="shared" si="4"/>
        <v>-0.2849999999999997</v>
      </c>
      <c r="S48" s="2">
        <f t="shared" si="5"/>
        <v>-12.069999999999993</v>
      </c>
      <c r="T48" s="2">
        <f t="shared" si="6"/>
        <v>-13.189999999999998</v>
      </c>
      <c r="U48" s="2">
        <f t="shared" si="7"/>
        <v>-0.25900000000000034</v>
      </c>
    </row>
    <row r="49" spans="3:21" x14ac:dyDescent="0.15">
      <c r="C49" s="13">
        <v>40326</v>
      </c>
      <c r="D49" s="14">
        <v>2.0390000000000001</v>
      </c>
      <c r="E49" s="15">
        <v>74</v>
      </c>
      <c r="F49" s="15">
        <v>73</v>
      </c>
      <c r="G49" s="15">
        <v>2.0059999999999998</v>
      </c>
      <c r="H49" s="16"/>
      <c r="I49" s="17">
        <f t="shared" si="1"/>
        <v>0.27709523809523828</v>
      </c>
      <c r="J49" s="17">
        <f t="shared" si="2"/>
        <v>0.30090476190476201</v>
      </c>
      <c r="K49" s="18">
        <f t="shared" si="3"/>
        <v>3.3000000000000362E-2</v>
      </c>
      <c r="M49" s="2">
        <f>ABS(D50-D49)</f>
        <v>4.6000000000000041E-2</v>
      </c>
      <c r="N49" s="2">
        <f>ABS(E50-E49)</f>
        <v>1.5900000000000034</v>
      </c>
      <c r="O49" s="2">
        <f>ABS(F50-F49)</f>
        <v>1.9399999999999977</v>
      </c>
      <c r="P49" s="2">
        <f>ABS(G50-G49)</f>
        <v>3.0999999999999694E-2</v>
      </c>
      <c r="R49" s="2">
        <f t="shared" si="4"/>
        <v>-4.6000000000000041E-2</v>
      </c>
      <c r="S49" s="2">
        <f t="shared" si="5"/>
        <v>1.5900000000000034</v>
      </c>
      <c r="T49" s="2">
        <f t="shared" si="6"/>
        <v>1.9399999999999977</v>
      </c>
      <c r="U49" s="2">
        <f t="shared" si="7"/>
        <v>-3.0999999999999694E-2</v>
      </c>
    </row>
    <row r="50" spans="3:21" x14ac:dyDescent="0.15">
      <c r="C50" s="13">
        <v>40359</v>
      </c>
      <c r="D50" s="14">
        <v>1.9930000000000001</v>
      </c>
      <c r="E50" s="15">
        <v>75.59</v>
      </c>
      <c r="F50" s="15">
        <v>74.94</v>
      </c>
      <c r="G50" s="15">
        <v>1.9750000000000001</v>
      </c>
      <c r="H50" s="16"/>
      <c r="I50" s="17">
        <f t="shared" si="1"/>
        <v>0.19323809523809521</v>
      </c>
      <c r="J50" s="17">
        <f t="shared" si="2"/>
        <v>0.20871428571428585</v>
      </c>
      <c r="K50" s="18">
        <f t="shared" si="3"/>
        <v>1.8000000000000016E-2</v>
      </c>
      <c r="M50" s="2">
        <f>ABS(D51-D50)</f>
        <v>9.9999999999999867E-2</v>
      </c>
      <c r="N50" s="2">
        <f>ABS(E51-E50)</f>
        <v>3.2599999999999909</v>
      </c>
      <c r="O50" s="2">
        <f>ABS(F51-F50)</f>
        <v>2.5600000000000023</v>
      </c>
      <c r="P50" s="2">
        <f>ABS(G51-G50)</f>
        <v>6.2999999999999723E-2</v>
      </c>
      <c r="R50" s="2">
        <f t="shared" si="4"/>
        <v>9.9999999999999867E-2</v>
      </c>
      <c r="S50" s="2">
        <f t="shared" si="5"/>
        <v>3.2599999999999909</v>
      </c>
      <c r="T50" s="2">
        <f t="shared" si="6"/>
        <v>2.5600000000000023</v>
      </c>
      <c r="U50" s="2">
        <f t="shared" si="7"/>
        <v>6.2999999999999723E-2</v>
      </c>
    </row>
    <row r="51" spans="3:21" x14ac:dyDescent="0.15">
      <c r="C51" s="13">
        <v>40389</v>
      </c>
      <c r="D51" s="14">
        <v>2.093</v>
      </c>
      <c r="E51" s="15">
        <v>78.849999999999994</v>
      </c>
      <c r="F51" s="15">
        <v>77.5</v>
      </c>
      <c r="G51" s="15">
        <v>2.0379999999999998</v>
      </c>
      <c r="H51" s="16"/>
      <c r="I51" s="17">
        <f t="shared" si="1"/>
        <v>0.21561904761904782</v>
      </c>
      <c r="J51" s="17">
        <f t="shared" si="2"/>
        <v>0.24776190476190463</v>
      </c>
      <c r="K51" s="18">
        <f t="shared" si="3"/>
        <v>5.500000000000016E-2</v>
      </c>
      <c r="M51" s="2">
        <f>ABS(D52-D51)</f>
        <v>8.3000000000000185E-2</v>
      </c>
      <c r="N51" s="2">
        <f>ABS(E52-E51)</f>
        <v>6.9199999999999875</v>
      </c>
      <c r="O51" s="2">
        <f>ABS(F52-F51)</f>
        <v>1.9899999999999949</v>
      </c>
      <c r="P51" s="2">
        <f>ABS(G52-G51)</f>
        <v>7.1999999999999842E-2</v>
      </c>
      <c r="R51" s="2">
        <f t="shared" si="4"/>
        <v>-8.3000000000000185E-2</v>
      </c>
      <c r="S51" s="2">
        <f t="shared" si="5"/>
        <v>-6.9199999999999875</v>
      </c>
      <c r="T51" s="2">
        <f t="shared" si="6"/>
        <v>-1.9899999999999949</v>
      </c>
      <c r="U51" s="2">
        <f t="shared" si="7"/>
        <v>-7.1999999999999842E-2</v>
      </c>
    </row>
    <row r="52" spans="3:21" x14ac:dyDescent="0.15">
      <c r="C52" s="13">
        <v>40421</v>
      </c>
      <c r="D52" s="14">
        <v>2.0099999999999998</v>
      </c>
      <c r="E52" s="15">
        <v>71.930000000000007</v>
      </c>
      <c r="F52" s="15">
        <v>75.510000000000005</v>
      </c>
      <c r="G52" s="15">
        <v>1.966</v>
      </c>
      <c r="H52" s="16"/>
      <c r="I52" s="17">
        <f t="shared" si="1"/>
        <v>0.29738095238095208</v>
      </c>
      <c r="J52" s="17">
        <f t="shared" si="2"/>
        <v>0.21214285714285674</v>
      </c>
      <c r="K52" s="18">
        <f t="shared" si="3"/>
        <v>4.3999999999999817E-2</v>
      </c>
      <c r="M52" s="2">
        <f>ABS(D53-D52)</f>
        <v>0.22900000000000009</v>
      </c>
      <c r="N52" s="2">
        <f>ABS(E53-E52)</f>
        <v>8.019999999999996</v>
      </c>
      <c r="O52" s="2">
        <f>ABS(F53-F52)</f>
        <v>5.2599999999999909</v>
      </c>
      <c r="P52" s="2">
        <f>ABS(G53-G52)</f>
        <v>0.27299999999999991</v>
      </c>
      <c r="R52" s="2">
        <f t="shared" si="4"/>
        <v>0.22900000000000009</v>
      </c>
      <c r="S52" s="2">
        <f t="shared" si="5"/>
        <v>8.019999999999996</v>
      </c>
      <c r="T52" s="2">
        <f t="shared" si="6"/>
        <v>5.2599999999999909</v>
      </c>
      <c r="U52" s="2">
        <f t="shared" si="7"/>
        <v>0.27299999999999991</v>
      </c>
    </row>
    <row r="53" spans="3:21" x14ac:dyDescent="0.15">
      <c r="C53" s="13">
        <v>40451</v>
      </c>
      <c r="D53" s="14">
        <v>2.2389999999999999</v>
      </c>
      <c r="E53" s="15">
        <v>79.95</v>
      </c>
      <c r="F53" s="15">
        <v>80.77</v>
      </c>
      <c r="G53" s="15">
        <v>2.2389999999999999</v>
      </c>
      <c r="H53" s="16"/>
      <c r="I53" s="17">
        <f t="shared" si="1"/>
        <v>0.33542857142857119</v>
      </c>
      <c r="J53" s="17">
        <f t="shared" si="2"/>
        <v>0.31590476190476191</v>
      </c>
      <c r="K53" s="18">
        <f t="shared" si="3"/>
        <v>0</v>
      </c>
      <c r="M53" s="2">
        <f>ABS(D54-D53)</f>
        <v>1.4000000000000234E-2</v>
      </c>
      <c r="N53" s="2">
        <f>ABS(E54-E53)</f>
        <v>1.5</v>
      </c>
      <c r="O53" s="2">
        <f>ABS(F54-F53)</f>
        <v>1.7000000000000028</v>
      </c>
      <c r="P53" s="2">
        <f>ABS(G54-G53)</f>
        <v>2.8000000000000025E-2</v>
      </c>
      <c r="R53" s="2">
        <f t="shared" si="4"/>
        <v>1.4000000000000234E-2</v>
      </c>
      <c r="S53" s="2">
        <f t="shared" si="5"/>
        <v>1.5</v>
      </c>
      <c r="T53" s="2">
        <f t="shared" si="6"/>
        <v>1.7000000000000028</v>
      </c>
      <c r="U53" s="2">
        <f t="shared" si="7"/>
        <v>-2.8000000000000025E-2</v>
      </c>
    </row>
    <row r="54" spans="3:21" x14ac:dyDescent="0.15">
      <c r="C54" s="13">
        <v>40480</v>
      </c>
      <c r="D54" s="14">
        <v>2.2530000000000001</v>
      </c>
      <c r="E54" s="15">
        <v>81.45</v>
      </c>
      <c r="F54" s="15">
        <v>82.47</v>
      </c>
      <c r="G54" s="15">
        <v>2.2109999999999999</v>
      </c>
      <c r="H54" s="16"/>
      <c r="I54" s="17">
        <f t="shared" si="1"/>
        <v>0.31371428571428583</v>
      </c>
      <c r="J54" s="17">
        <f t="shared" si="2"/>
        <v>0.28942857142857159</v>
      </c>
      <c r="K54" s="18">
        <f t="shared" si="3"/>
        <v>4.2000000000000259E-2</v>
      </c>
      <c r="M54" s="2">
        <f>ABS(D55-D54)</f>
        <v>3.7999999999999812E-2</v>
      </c>
      <c r="N54" s="2">
        <f>ABS(E55-E54)</f>
        <v>2.6700000000000017</v>
      </c>
      <c r="O54" s="2">
        <f>ABS(F55-F54)</f>
        <v>3.5499999999999972</v>
      </c>
      <c r="P54" s="2">
        <f>ABS(G55-G54)</f>
        <v>7.6999999999999957E-2</v>
      </c>
      <c r="R54" s="2">
        <f t="shared" si="4"/>
        <v>3.7999999999999812E-2</v>
      </c>
      <c r="S54" s="2">
        <f t="shared" si="5"/>
        <v>2.6700000000000017</v>
      </c>
      <c r="T54" s="2">
        <f t="shared" si="6"/>
        <v>3.5499999999999972</v>
      </c>
      <c r="U54" s="2">
        <f t="shared" si="7"/>
        <v>7.6999999999999957E-2</v>
      </c>
    </row>
    <row r="55" spans="3:21" x14ac:dyDescent="0.15">
      <c r="C55" s="13">
        <v>40512</v>
      </c>
      <c r="D55" s="14">
        <v>2.2909999999999999</v>
      </c>
      <c r="E55" s="15">
        <v>84.12</v>
      </c>
      <c r="F55" s="15">
        <v>86.02</v>
      </c>
      <c r="G55" s="15">
        <v>2.2879999999999998</v>
      </c>
      <c r="H55" s="16"/>
      <c r="I55" s="17">
        <f t="shared" si="1"/>
        <v>0.28814285714285681</v>
      </c>
      <c r="J55" s="17">
        <f t="shared" si="2"/>
        <v>0.24290476190476173</v>
      </c>
      <c r="K55" s="18">
        <f t="shared" si="3"/>
        <v>3.0000000000001137E-3</v>
      </c>
      <c r="M55" s="2">
        <f>ABS(D56-D55)</f>
        <v>0.2370000000000001</v>
      </c>
      <c r="N55" s="2">
        <f>ABS(E56-E55)</f>
        <v>7.2599999999999909</v>
      </c>
      <c r="O55" s="2">
        <f>ABS(F56-F55)</f>
        <v>7.210000000000008</v>
      </c>
      <c r="P55" s="2">
        <f>ABS(G56-G55)</f>
        <v>0.25800000000000001</v>
      </c>
      <c r="R55" s="2">
        <f t="shared" si="4"/>
        <v>0.2370000000000001</v>
      </c>
      <c r="S55" s="2">
        <f t="shared" si="5"/>
        <v>7.2599999999999909</v>
      </c>
      <c r="T55" s="2">
        <f t="shared" si="6"/>
        <v>7.210000000000008</v>
      </c>
      <c r="U55" s="2">
        <f t="shared" si="7"/>
        <v>0.25800000000000001</v>
      </c>
    </row>
    <row r="56" spans="3:21" x14ac:dyDescent="0.15">
      <c r="C56" s="13">
        <v>40543</v>
      </c>
      <c r="D56" s="14">
        <v>2.528</v>
      </c>
      <c r="E56" s="15">
        <v>91.38</v>
      </c>
      <c r="F56" s="15">
        <v>93.23</v>
      </c>
      <c r="G56" s="15">
        <v>2.5459999999999998</v>
      </c>
      <c r="H56" s="16"/>
      <c r="I56" s="17">
        <f t="shared" si="1"/>
        <v>0.35228571428571431</v>
      </c>
      <c r="J56" s="17">
        <f t="shared" si="2"/>
        <v>0.30823809523809498</v>
      </c>
      <c r="K56" s="18">
        <f t="shared" si="3"/>
        <v>-1.7999999999999794E-2</v>
      </c>
      <c r="M56" s="2">
        <f>ABS(D57-D56)</f>
        <v>0.21399999999999997</v>
      </c>
      <c r="N56" s="2">
        <f>ABS(E57-E56)</f>
        <v>0.39000000000000057</v>
      </c>
      <c r="O56" s="2">
        <f>ABS(F57-F56)</f>
        <v>5.7399999999999949</v>
      </c>
      <c r="P56" s="2">
        <f>ABS(G57-G56)</f>
        <v>0.17700000000000005</v>
      </c>
      <c r="R56" s="2">
        <f t="shared" si="4"/>
        <v>0.21399999999999997</v>
      </c>
      <c r="S56" s="2">
        <f t="shared" si="5"/>
        <v>-0.39000000000000057</v>
      </c>
      <c r="T56" s="2">
        <f t="shared" si="6"/>
        <v>5.7399999999999949</v>
      </c>
      <c r="U56" s="2">
        <f t="shared" si="7"/>
        <v>0.17700000000000005</v>
      </c>
    </row>
    <row r="57" spans="3:21" x14ac:dyDescent="0.15">
      <c r="C57" s="13">
        <v>40574</v>
      </c>
      <c r="D57" s="14">
        <v>2.742</v>
      </c>
      <c r="E57" s="15">
        <v>90.99</v>
      </c>
      <c r="F57" s="15">
        <v>98.97</v>
      </c>
      <c r="G57" s="15">
        <v>2.7229999999999999</v>
      </c>
      <c r="H57" s="16"/>
      <c r="I57" s="17">
        <f t="shared" si="1"/>
        <v>0.57557142857142862</v>
      </c>
      <c r="J57" s="17">
        <f t="shared" si="2"/>
        <v>0.38557142857142868</v>
      </c>
      <c r="K57" s="18">
        <f t="shared" si="3"/>
        <v>1.9000000000000128E-2</v>
      </c>
      <c r="M57" s="2">
        <f>ABS(D58-D57)</f>
        <v>0.25600000000000023</v>
      </c>
      <c r="N57" s="2">
        <f>ABS(E58-E57)</f>
        <v>6.1099999999999994</v>
      </c>
      <c r="O57" s="2">
        <f>ABS(F58-F57)</f>
        <v>13.299999999999997</v>
      </c>
      <c r="P57" s="2">
        <f>ABS(G58-G57)</f>
        <v>0.20500000000000007</v>
      </c>
      <c r="R57" s="2">
        <f t="shared" si="4"/>
        <v>0.25600000000000023</v>
      </c>
      <c r="S57" s="2">
        <f t="shared" si="5"/>
        <v>6.1099999999999994</v>
      </c>
      <c r="T57" s="2">
        <f t="shared" si="6"/>
        <v>13.299999999999997</v>
      </c>
      <c r="U57" s="2">
        <f t="shared" si="7"/>
        <v>0.20500000000000007</v>
      </c>
    </row>
    <row r="58" spans="3:21" x14ac:dyDescent="0.15">
      <c r="C58" s="13">
        <v>40602</v>
      </c>
      <c r="D58" s="14">
        <v>2.9980000000000002</v>
      </c>
      <c r="E58" s="15">
        <v>97.1</v>
      </c>
      <c r="F58" s="15">
        <v>112.27</v>
      </c>
      <c r="G58" s="15">
        <v>2.9279999999999999</v>
      </c>
      <c r="H58" s="16"/>
      <c r="I58" s="17">
        <f t="shared" si="1"/>
        <v>0.68609523809523854</v>
      </c>
      <c r="J58" s="17">
        <f t="shared" si="2"/>
        <v>0.32490476190476203</v>
      </c>
      <c r="K58" s="18">
        <f t="shared" si="3"/>
        <v>7.0000000000000284E-2</v>
      </c>
      <c r="M58" s="2">
        <f>ABS(D59-D58)</f>
        <v>0.16299999999999981</v>
      </c>
      <c r="N58" s="2">
        <f>ABS(E59-E58)</f>
        <v>9.0900000000000034</v>
      </c>
      <c r="O58" s="2">
        <f>ABS(F59-F58)</f>
        <v>4.6700000000000017</v>
      </c>
      <c r="P58" s="2">
        <f>ABS(G59-G58)</f>
        <v>0.16999999999999993</v>
      </c>
      <c r="R58" s="2">
        <f t="shared" si="4"/>
        <v>0.16299999999999981</v>
      </c>
      <c r="S58" s="2">
        <f t="shared" si="5"/>
        <v>9.0900000000000034</v>
      </c>
      <c r="T58" s="2">
        <f t="shared" si="6"/>
        <v>4.6700000000000017</v>
      </c>
      <c r="U58" s="2">
        <f t="shared" si="7"/>
        <v>0.16999999999999993</v>
      </c>
    </row>
    <row r="59" spans="3:21" x14ac:dyDescent="0.15">
      <c r="C59" s="13">
        <v>40633</v>
      </c>
      <c r="D59" s="14">
        <v>3.161</v>
      </c>
      <c r="E59" s="15">
        <v>106.19</v>
      </c>
      <c r="F59" s="15">
        <v>116.94</v>
      </c>
      <c r="G59" s="15">
        <v>3.0979999999999999</v>
      </c>
      <c r="H59" s="16"/>
      <c r="I59" s="17">
        <f t="shared" si="1"/>
        <v>0.63266666666666671</v>
      </c>
      <c r="J59" s="17">
        <f t="shared" si="2"/>
        <v>0.37671428571428578</v>
      </c>
      <c r="K59" s="18">
        <f t="shared" si="3"/>
        <v>6.3000000000000167E-2</v>
      </c>
      <c r="M59" s="2">
        <f>ABS(D60-D59)</f>
        <v>0.20699999999999985</v>
      </c>
      <c r="N59" s="2">
        <f>ABS(E60-E59)</f>
        <v>7.2000000000000028</v>
      </c>
      <c r="O59" s="2">
        <f>ABS(F60-F59)</f>
        <v>9.6500000000000057</v>
      </c>
      <c r="P59" s="2">
        <f>ABS(G60-G59)</f>
        <v>0.16500000000000004</v>
      </c>
      <c r="R59" s="2">
        <f t="shared" si="4"/>
        <v>0.20699999999999985</v>
      </c>
      <c r="S59" s="2">
        <f t="shared" si="5"/>
        <v>7.2000000000000028</v>
      </c>
      <c r="T59" s="2">
        <f t="shared" si="6"/>
        <v>9.6500000000000057</v>
      </c>
      <c r="U59" s="2">
        <f t="shared" si="7"/>
        <v>0.16500000000000004</v>
      </c>
    </row>
    <row r="60" spans="3:21" x14ac:dyDescent="0.15">
      <c r="C60" s="13">
        <v>40662</v>
      </c>
      <c r="D60" s="14">
        <v>3.3679999999999999</v>
      </c>
      <c r="E60" s="15">
        <v>113.39</v>
      </c>
      <c r="F60" s="15">
        <v>126.59</v>
      </c>
      <c r="G60" s="15">
        <v>3.2629999999999999</v>
      </c>
      <c r="H60" s="16"/>
      <c r="I60" s="17">
        <f t="shared" si="1"/>
        <v>0.6682380952380953</v>
      </c>
      <c r="J60" s="17">
        <f t="shared" si="2"/>
        <v>0.3539523809523808</v>
      </c>
      <c r="K60" s="18">
        <f t="shared" si="3"/>
        <v>0.10499999999999998</v>
      </c>
      <c r="M60" s="2">
        <f>ABS(D61-D60)</f>
        <v>0.23399999999999999</v>
      </c>
      <c r="N60" s="2">
        <f>ABS(E61-E60)</f>
        <v>10.689999999999998</v>
      </c>
      <c r="O60" s="2">
        <f>ABS(F61-F60)</f>
        <v>9.4099999999999966</v>
      </c>
      <c r="P60" s="2">
        <f>ABS(G61-G60)</f>
        <v>0.21399999999999997</v>
      </c>
      <c r="R60" s="2">
        <f t="shared" si="4"/>
        <v>-0.23399999999999999</v>
      </c>
      <c r="S60" s="2">
        <f t="shared" si="5"/>
        <v>-10.689999999999998</v>
      </c>
      <c r="T60" s="2">
        <f t="shared" si="6"/>
        <v>-9.4099999999999966</v>
      </c>
      <c r="U60" s="2">
        <f t="shared" si="7"/>
        <v>-0.21399999999999997</v>
      </c>
    </row>
    <row r="61" spans="3:21" x14ac:dyDescent="0.15">
      <c r="C61" s="13">
        <v>40694</v>
      </c>
      <c r="D61" s="14">
        <v>3.1339999999999999</v>
      </c>
      <c r="E61" s="15">
        <v>102.7</v>
      </c>
      <c r="F61" s="15">
        <v>117.18</v>
      </c>
      <c r="G61" s="15">
        <v>3.0489999999999999</v>
      </c>
      <c r="H61" s="16"/>
      <c r="I61" s="17">
        <f t="shared" si="1"/>
        <v>0.68876190476190446</v>
      </c>
      <c r="J61" s="17">
        <f t="shared" si="2"/>
        <v>0.34399999999999986</v>
      </c>
      <c r="K61" s="18">
        <f t="shared" si="3"/>
        <v>8.4999999999999964E-2</v>
      </c>
      <c r="M61" s="2">
        <f>ABS(D62-D61)</f>
        <v>0.1379999999999999</v>
      </c>
      <c r="N61" s="2">
        <f>ABS(E62-E61)</f>
        <v>7.4000000000000057</v>
      </c>
      <c r="O61" s="2">
        <f>ABS(F62-F61)</f>
        <v>5.4700000000000131</v>
      </c>
      <c r="P61" s="2">
        <f>ABS(G62-G61)</f>
        <v>0.11299999999999999</v>
      </c>
      <c r="R61" s="2">
        <f t="shared" si="4"/>
        <v>-0.1379999999999999</v>
      </c>
      <c r="S61" s="2">
        <f t="shared" si="5"/>
        <v>-7.4000000000000057</v>
      </c>
      <c r="T61" s="2">
        <f t="shared" si="6"/>
        <v>-5.4700000000000131</v>
      </c>
      <c r="U61" s="2">
        <f t="shared" si="7"/>
        <v>-0.11299999999999999</v>
      </c>
    </row>
    <row r="62" spans="3:21" x14ac:dyDescent="0.15">
      <c r="C62" s="13">
        <v>40724</v>
      </c>
      <c r="D62" s="14">
        <v>2.996</v>
      </c>
      <c r="E62" s="15">
        <v>95.3</v>
      </c>
      <c r="F62" s="15">
        <v>111.71</v>
      </c>
      <c r="G62" s="15">
        <v>2.9359999999999999</v>
      </c>
      <c r="H62" s="16"/>
      <c r="I62" s="17">
        <f t="shared" si="1"/>
        <v>0.72695238095238102</v>
      </c>
      <c r="J62" s="17">
        <f t="shared" si="2"/>
        <v>0.33623809523809545</v>
      </c>
      <c r="K62" s="18">
        <f t="shared" si="3"/>
        <v>6.0000000000000053E-2</v>
      </c>
      <c r="M62" s="2">
        <f>ABS(D63-D62)</f>
        <v>0.16500000000000004</v>
      </c>
      <c r="N62" s="2">
        <f>ABS(E63-E62)</f>
        <v>0.38000000000000966</v>
      </c>
      <c r="O62" s="2">
        <f>ABS(F63-F62)</f>
        <v>4.2200000000000131</v>
      </c>
      <c r="P62" s="2">
        <f>ABS(G63-G62)</f>
        <v>0.14999999999999991</v>
      </c>
      <c r="R62" s="2">
        <f t="shared" si="4"/>
        <v>0.16500000000000004</v>
      </c>
      <c r="S62" s="2">
        <f t="shared" si="5"/>
        <v>0.38000000000000966</v>
      </c>
      <c r="T62" s="2">
        <f t="shared" si="6"/>
        <v>4.2200000000000131</v>
      </c>
      <c r="U62" s="2">
        <f t="shared" si="7"/>
        <v>0.14999999999999991</v>
      </c>
    </row>
    <row r="63" spans="3:21" x14ac:dyDescent="0.15">
      <c r="C63" s="13">
        <v>40753</v>
      </c>
      <c r="D63" s="14">
        <v>3.161</v>
      </c>
      <c r="E63" s="15">
        <v>95.68</v>
      </c>
      <c r="F63" s="15">
        <v>115.93</v>
      </c>
      <c r="G63" s="15">
        <v>3.0859999999999999</v>
      </c>
      <c r="H63" s="16"/>
      <c r="I63" s="17">
        <f t="shared" si="1"/>
        <v>0.88290476190476186</v>
      </c>
      <c r="J63" s="17">
        <f t="shared" si="2"/>
        <v>0.40076190476190465</v>
      </c>
      <c r="K63" s="18">
        <f t="shared" si="3"/>
        <v>7.5000000000000178E-2</v>
      </c>
      <c r="M63" s="2">
        <f>ABS(D64-D63)</f>
        <v>4.8000000000000043E-2</v>
      </c>
      <c r="N63" s="2">
        <f>ABS(E64-E63)</f>
        <v>6.8700000000000045</v>
      </c>
      <c r="O63" s="2">
        <f>ABS(F64-F63)</f>
        <v>0.54999999999999716</v>
      </c>
      <c r="P63" s="2">
        <f>ABS(G64-G63)</f>
        <v>1.7999999999999794E-2</v>
      </c>
      <c r="R63" s="2">
        <f t="shared" si="4"/>
        <v>-4.8000000000000043E-2</v>
      </c>
      <c r="S63" s="2">
        <f t="shared" si="5"/>
        <v>-6.8700000000000045</v>
      </c>
      <c r="T63" s="2">
        <f t="shared" si="6"/>
        <v>0.54999999999999716</v>
      </c>
      <c r="U63" s="2">
        <f t="shared" si="7"/>
        <v>-1.7999999999999794E-2</v>
      </c>
    </row>
    <row r="64" spans="3:21" x14ac:dyDescent="0.15">
      <c r="C64" s="13">
        <v>40786</v>
      </c>
      <c r="D64" s="14">
        <v>3.113</v>
      </c>
      <c r="E64" s="15">
        <v>88.81</v>
      </c>
      <c r="F64" s="15">
        <v>116.48</v>
      </c>
      <c r="G64" s="15">
        <v>3.0680000000000001</v>
      </c>
      <c r="H64" s="16"/>
      <c r="I64" s="17">
        <f t="shared" si="1"/>
        <v>0.99847619047619052</v>
      </c>
      <c r="J64" s="17">
        <f t="shared" si="2"/>
        <v>0.33966666666666656</v>
      </c>
      <c r="K64" s="18">
        <f t="shared" si="3"/>
        <v>4.4999999999999929E-2</v>
      </c>
      <c r="M64" s="2">
        <f>ABS(D65-D64)</f>
        <v>0.26900000000000013</v>
      </c>
      <c r="N64" s="2">
        <f>ABS(E65-E64)</f>
        <v>9.8799999999999955</v>
      </c>
      <c r="O64" s="2">
        <f>ABS(F65-F64)</f>
        <v>11.060000000000002</v>
      </c>
      <c r="P64" s="2">
        <f>ABS(G65-G64)</f>
        <v>0.28699999999999992</v>
      </c>
      <c r="R64" s="2">
        <f t="shared" si="4"/>
        <v>-0.26900000000000013</v>
      </c>
      <c r="S64" s="2">
        <f t="shared" si="5"/>
        <v>-9.8799999999999955</v>
      </c>
      <c r="T64" s="2">
        <f t="shared" si="6"/>
        <v>-11.060000000000002</v>
      </c>
      <c r="U64" s="2">
        <f t="shared" si="7"/>
        <v>-0.28699999999999992</v>
      </c>
    </row>
    <row r="65" spans="3:21" x14ac:dyDescent="0.15">
      <c r="C65" s="13">
        <v>40816</v>
      </c>
      <c r="D65" s="14">
        <v>2.8439999999999999</v>
      </c>
      <c r="E65" s="15">
        <v>78.930000000000007</v>
      </c>
      <c r="F65" s="15">
        <v>105.42</v>
      </c>
      <c r="G65" s="15">
        <v>2.7810000000000001</v>
      </c>
      <c r="H65" s="16"/>
      <c r="I65" s="17">
        <f t="shared" si="1"/>
        <v>0.96471428571428541</v>
      </c>
      <c r="J65" s="17">
        <f t="shared" si="2"/>
        <v>0.33399999999999963</v>
      </c>
      <c r="K65" s="18">
        <f t="shared" si="3"/>
        <v>6.2999999999999723E-2</v>
      </c>
      <c r="M65" s="2">
        <f>ABS(D66-D65)</f>
        <v>0.18400000000000016</v>
      </c>
      <c r="N65" s="2">
        <f>ABS(E66-E65)</f>
        <v>14.259999999999991</v>
      </c>
      <c r="O65" s="2">
        <f>ABS(F66-F65)</f>
        <v>3.0100000000000051</v>
      </c>
      <c r="P65" s="2">
        <f>ABS(G66-G65)</f>
        <v>0.2589999999999999</v>
      </c>
      <c r="R65" s="2">
        <f t="shared" si="4"/>
        <v>0.18400000000000016</v>
      </c>
      <c r="S65" s="2">
        <f t="shared" si="5"/>
        <v>14.259999999999991</v>
      </c>
      <c r="T65" s="2">
        <f t="shared" si="6"/>
        <v>3.0100000000000051</v>
      </c>
      <c r="U65" s="2">
        <f t="shared" si="7"/>
        <v>0.2589999999999999</v>
      </c>
    </row>
    <row r="66" spans="3:21" x14ac:dyDescent="0.15">
      <c r="C66" s="13">
        <v>40847</v>
      </c>
      <c r="D66" s="14">
        <v>3.028</v>
      </c>
      <c r="E66" s="15">
        <v>93.19</v>
      </c>
      <c r="F66" s="15">
        <v>108.43</v>
      </c>
      <c r="G66" s="15">
        <v>3.04</v>
      </c>
      <c r="H66" s="16"/>
      <c r="I66" s="17">
        <f t="shared" si="1"/>
        <v>0.80919047619047646</v>
      </c>
      <c r="J66" s="17">
        <f t="shared" si="2"/>
        <v>0.44633333333333303</v>
      </c>
      <c r="K66" s="18">
        <f t="shared" si="3"/>
        <v>-1.2000000000000011E-2</v>
      </c>
      <c r="M66" s="2">
        <f>ABS(D67-D66)</f>
        <v>2.7000000000000135E-2</v>
      </c>
      <c r="N66" s="2">
        <f>ABS(E67-E66)</f>
        <v>7.1700000000000017</v>
      </c>
      <c r="O66" s="2">
        <f>ABS(F67-F66)</f>
        <v>2.789999999999992</v>
      </c>
      <c r="P66" s="2">
        <f>ABS(G67-G66)</f>
        <v>2.8000000000000025E-2</v>
      </c>
      <c r="R66" s="2">
        <f t="shared" si="4"/>
        <v>-2.7000000000000135E-2</v>
      </c>
      <c r="S66" s="2">
        <f t="shared" si="5"/>
        <v>7.1700000000000017</v>
      </c>
      <c r="T66" s="2">
        <f t="shared" si="6"/>
        <v>2.789999999999992</v>
      </c>
      <c r="U66" s="2">
        <f t="shared" si="7"/>
        <v>-2.8000000000000025E-2</v>
      </c>
    </row>
    <row r="67" spans="3:21" x14ac:dyDescent="0.15">
      <c r="C67" s="13">
        <v>40877</v>
      </c>
      <c r="D67" s="14">
        <v>3.0009999999999999</v>
      </c>
      <c r="E67" s="15">
        <v>100.36</v>
      </c>
      <c r="F67" s="15">
        <v>111.22</v>
      </c>
      <c r="G67" s="15">
        <v>3.012</v>
      </c>
      <c r="H67" s="16"/>
      <c r="I67" s="17">
        <f t="shared" si="1"/>
        <v>0.61147619047619051</v>
      </c>
      <c r="J67" s="17">
        <f t="shared" si="2"/>
        <v>0.35290476190476161</v>
      </c>
      <c r="K67" s="18">
        <f t="shared" si="3"/>
        <v>-1.1000000000000121E-2</v>
      </c>
      <c r="M67" s="2">
        <f>ABS(D68-D67)</f>
        <v>8.4000000000000075E-2</v>
      </c>
      <c r="N67" s="2">
        <f>ABS(E68-E67)</f>
        <v>1.5300000000000011</v>
      </c>
      <c r="O67" s="2">
        <f>ABS(F68-F67)</f>
        <v>3.1299999999999955</v>
      </c>
      <c r="P67" s="2">
        <f>ABS(G68-G67)</f>
        <v>9.5000000000000195E-2</v>
      </c>
      <c r="R67" s="2">
        <f t="shared" si="4"/>
        <v>-8.4000000000000075E-2</v>
      </c>
      <c r="S67" s="2">
        <f t="shared" si="5"/>
        <v>-1.5300000000000011</v>
      </c>
      <c r="T67" s="2">
        <f t="shared" si="6"/>
        <v>-3.1299999999999955</v>
      </c>
      <c r="U67" s="2">
        <f t="shared" si="7"/>
        <v>-9.5000000000000195E-2</v>
      </c>
    </row>
    <row r="68" spans="3:21" x14ac:dyDescent="0.15">
      <c r="C68" s="13">
        <v>40907</v>
      </c>
      <c r="D68" s="14">
        <v>2.9169999999999998</v>
      </c>
      <c r="E68" s="15">
        <v>98.83</v>
      </c>
      <c r="F68" s="15">
        <v>108.09</v>
      </c>
      <c r="G68" s="15">
        <v>2.9169999999999998</v>
      </c>
      <c r="H68" s="16"/>
      <c r="I68" s="17">
        <f t="shared" si="1"/>
        <v>0.56390476190476191</v>
      </c>
      <c r="J68" s="17">
        <f t="shared" si="2"/>
        <v>0.34342857142857097</v>
      </c>
      <c r="K68" s="18">
        <f t="shared" si="3"/>
        <v>0</v>
      </c>
    </row>
    <row r="70" spans="3:21" x14ac:dyDescent="0.15">
      <c r="C70" s="19" t="s">
        <v>14</v>
      </c>
      <c r="D70" s="19"/>
      <c r="E70" s="19"/>
      <c r="F70" s="19"/>
      <c r="G70" s="19"/>
      <c r="H70" s="19"/>
      <c r="I70" s="19"/>
      <c r="J70" s="19"/>
      <c r="K70" s="19"/>
    </row>
  </sheetData>
  <mergeCells count="4">
    <mergeCell ref="A2:M2"/>
    <mergeCell ref="A3:M3"/>
    <mergeCell ref="A4:M4"/>
    <mergeCell ref="C70:K7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A02582-6BCF-974A-A6C9-7F8A5161558E}">
  <dimension ref="A1:I83"/>
  <sheetViews>
    <sheetView zoomScale="125" workbookViewId="0">
      <selection activeCell="G31" sqref="G31"/>
    </sheetView>
  </sheetViews>
  <sheetFormatPr baseColWidth="10" defaultRowHeight="16" x14ac:dyDescent="0.2"/>
  <cols>
    <col min="1" max="1" width="16.33203125" bestFit="1" customWidth="1"/>
    <col min="2" max="2" width="12.1640625" bestFit="1" customWidth="1"/>
  </cols>
  <sheetData>
    <row r="1" spans="1:9" x14ac:dyDescent="0.2">
      <c r="A1" t="s">
        <v>19</v>
      </c>
    </row>
    <row r="2" spans="1:9" ht="17" thickBot="1" x14ac:dyDescent="0.25"/>
    <row r="3" spans="1:9" x14ac:dyDescent="0.2">
      <c r="A3" s="32" t="s">
        <v>20</v>
      </c>
      <c r="B3" s="32"/>
    </row>
    <row r="4" spans="1:9" x14ac:dyDescent="0.2">
      <c r="A4" s="26" t="s">
        <v>21</v>
      </c>
      <c r="B4" s="23">
        <v>0.90440700080944803</v>
      </c>
    </row>
    <row r="5" spans="1:9" x14ac:dyDescent="0.2">
      <c r="A5" s="26" t="s">
        <v>22</v>
      </c>
      <c r="B5" s="34">
        <v>0.81795202311314086</v>
      </c>
    </row>
    <row r="6" spans="1:9" x14ac:dyDescent="0.2">
      <c r="A6" s="26" t="s">
        <v>23</v>
      </c>
      <c r="B6" s="23">
        <v>0.81475819895723101</v>
      </c>
    </row>
    <row r="7" spans="1:9" x14ac:dyDescent="0.2">
      <c r="A7" s="26" t="s">
        <v>24</v>
      </c>
      <c r="B7" s="23">
        <v>6.5467626653588518E-2</v>
      </c>
    </row>
    <row r="8" spans="1:9" ht="17" thickBot="1" x14ac:dyDescent="0.25">
      <c r="A8" s="33" t="s">
        <v>25</v>
      </c>
      <c r="B8" s="24">
        <v>59</v>
      </c>
    </row>
    <row r="10" spans="1:9" ht="17" thickBot="1" x14ac:dyDescent="0.25">
      <c r="A10" t="s">
        <v>26</v>
      </c>
    </row>
    <row r="11" spans="1:9" x14ac:dyDescent="0.2">
      <c r="A11" s="22"/>
      <c r="B11" s="22" t="s">
        <v>31</v>
      </c>
      <c r="C11" s="22" t="s">
        <v>32</v>
      </c>
      <c r="D11" s="22" t="s">
        <v>33</v>
      </c>
      <c r="E11" s="22" t="s">
        <v>34</v>
      </c>
      <c r="F11" s="22" t="s">
        <v>35</v>
      </c>
    </row>
    <row r="12" spans="1:9" x14ac:dyDescent="0.2">
      <c r="A12" s="20" t="s">
        <v>27</v>
      </c>
      <c r="B12" s="20">
        <v>1</v>
      </c>
      <c r="C12" s="20">
        <v>1.0976655237346571</v>
      </c>
      <c r="D12" s="20">
        <v>1.0976655237346571</v>
      </c>
      <c r="E12" s="20">
        <v>256.10427599766666</v>
      </c>
      <c r="F12" s="20">
        <v>9.5369002861222156E-23</v>
      </c>
    </row>
    <row r="13" spans="1:9" x14ac:dyDescent="0.2">
      <c r="A13" s="20" t="s">
        <v>28</v>
      </c>
      <c r="B13" s="20">
        <v>57</v>
      </c>
      <c r="C13" s="20">
        <v>0.2443025779602582</v>
      </c>
      <c r="D13" s="20">
        <v>4.286010139653653E-3</v>
      </c>
      <c r="E13" s="20"/>
      <c r="F13" s="20"/>
    </row>
    <row r="14" spans="1:9" ht="17" thickBot="1" x14ac:dyDescent="0.25">
      <c r="A14" s="21" t="s">
        <v>29</v>
      </c>
      <c r="B14" s="21">
        <v>58</v>
      </c>
      <c r="C14" s="21">
        <v>1.3419681016949152</v>
      </c>
      <c r="D14" s="21"/>
      <c r="E14" s="21"/>
      <c r="F14" s="21"/>
    </row>
    <row r="15" spans="1:9" ht="17" thickBot="1" x14ac:dyDescent="0.25"/>
    <row r="16" spans="1:9" x14ac:dyDescent="0.2">
      <c r="A16" s="22"/>
      <c r="B16" s="22" t="s">
        <v>36</v>
      </c>
      <c r="C16" s="22" t="s">
        <v>24</v>
      </c>
      <c r="D16" s="22" t="s">
        <v>37</v>
      </c>
      <c r="E16" s="22" t="s">
        <v>38</v>
      </c>
      <c r="F16" s="22" t="s">
        <v>39</v>
      </c>
      <c r="G16" s="22" t="s">
        <v>40</v>
      </c>
      <c r="H16" s="22" t="s">
        <v>41</v>
      </c>
      <c r="I16" s="22" t="s">
        <v>42</v>
      </c>
    </row>
    <row r="17" spans="1:9" x14ac:dyDescent="0.2">
      <c r="A17" s="20" t="s">
        <v>30</v>
      </c>
      <c r="B17" s="20">
        <v>1.8042294564337091E-2</v>
      </c>
      <c r="C17" s="20">
        <v>1.2913229556512959E-2</v>
      </c>
      <c r="D17" s="20">
        <v>1.3971945968572379</v>
      </c>
      <c r="E17" s="20">
        <v>0.16777057724204761</v>
      </c>
      <c r="F17" s="20">
        <v>-7.8160015904758309E-3</v>
      </c>
      <c r="G17" s="20">
        <v>4.3900590719150014E-2</v>
      </c>
      <c r="H17" s="20">
        <v>-7.8160015904758309E-3</v>
      </c>
      <c r="I17" s="20">
        <v>4.3900590719150014E-2</v>
      </c>
    </row>
    <row r="18" spans="1:9" ht="103" thickBot="1" x14ac:dyDescent="0.25">
      <c r="A18" s="37" t="s">
        <v>54</v>
      </c>
      <c r="B18" s="21">
        <v>2.3753286016192827E-2</v>
      </c>
      <c r="C18" s="21">
        <v>1.4842781126854613E-3</v>
      </c>
      <c r="D18" s="21">
        <v>16.003258293162254</v>
      </c>
      <c r="E18" s="21">
        <v>9.536900286122285E-23</v>
      </c>
      <c r="F18" s="21">
        <v>2.0781070363558547E-2</v>
      </c>
      <c r="G18" s="21">
        <v>2.6725501668827107E-2</v>
      </c>
      <c r="H18" s="21">
        <v>2.0781070363558547E-2</v>
      </c>
      <c r="I18" s="21">
        <v>2.6725501668827107E-2</v>
      </c>
    </row>
    <row r="22" spans="1:9" x14ac:dyDescent="0.2">
      <c r="A22" t="s">
        <v>44</v>
      </c>
    </row>
    <row r="23" spans="1:9" ht="17" thickBot="1" x14ac:dyDescent="0.25"/>
    <row r="24" spans="1:9" ht="102" x14ac:dyDescent="0.2">
      <c r="A24" s="22" t="s">
        <v>45</v>
      </c>
      <c r="B24" s="38" t="s">
        <v>53</v>
      </c>
      <c r="C24" s="22" t="s">
        <v>47</v>
      </c>
    </row>
    <row r="25" spans="1:9" x14ac:dyDescent="0.2">
      <c r="A25" s="20">
        <v>1</v>
      </c>
      <c r="B25" s="20">
        <v>8.6214225430810448E-2</v>
      </c>
      <c r="C25" s="20">
        <v>7.7857745691896352E-3</v>
      </c>
    </row>
    <row r="26" spans="1:9" ht="17" thickBot="1" x14ac:dyDescent="0.25">
      <c r="A26" s="20">
        <v>2</v>
      </c>
      <c r="B26" s="20">
        <v>0.23372213159136793</v>
      </c>
      <c r="C26" s="20">
        <v>-6.9722131591368003E-2</v>
      </c>
    </row>
    <row r="27" spans="1:9" x14ac:dyDescent="0.2">
      <c r="A27" s="20">
        <v>3</v>
      </c>
      <c r="B27" s="20">
        <v>4.7496369224416073E-2</v>
      </c>
      <c r="C27" s="20">
        <v>-1.5496369224416044E-2</v>
      </c>
      <c r="E27" s="32"/>
      <c r="F27" s="32" t="s">
        <v>85</v>
      </c>
    </row>
    <row r="28" spans="1:9" x14ac:dyDescent="0.2">
      <c r="A28" s="20">
        <v>4</v>
      </c>
      <c r="B28" s="20">
        <v>4.0607916279720345E-2</v>
      </c>
      <c r="C28" s="20">
        <v>-3.5607916279720452E-2</v>
      </c>
      <c r="E28" s="26" t="s">
        <v>21</v>
      </c>
      <c r="F28" s="23">
        <v>0.90440700080944803</v>
      </c>
    </row>
    <row r="29" spans="1:9" x14ac:dyDescent="0.2">
      <c r="A29" s="20">
        <v>5</v>
      </c>
      <c r="B29" s="20">
        <v>0.11400557006975592</v>
      </c>
      <c r="C29" s="20">
        <v>-6.8005570069756105E-2</v>
      </c>
      <c r="E29" s="26" t="s">
        <v>22</v>
      </c>
      <c r="F29" s="34">
        <v>0.81795202311314086</v>
      </c>
    </row>
    <row r="30" spans="1:9" x14ac:dyDescent="0.2">
      <c r="A30" s="20">
        <v>6</v>
      </c>
      <c r="B30" s="20">
        <v>0.13182053458190088</v>
      </c>
      <c r="C30" s="20">
        <v>-2.3820534581900782E-2</v>
      </c>
      <c r="E30" s="26" t="s">
        <v>23</v>
      </c>
      <c r="F30" s="23">
        <v>0.81475819895723101</v>
      </c>
    </row>
    <row r="31" spans="1:9" x14ac:dyDescent="0.2">
      <c r="A31" s="20">
        <v>7</v>
      </c>
      <c r="B31" s="20">
        <v>0.1301578045607672</v>
      </c>
      <c r="C31" s="20">
        <v>-6.7157804560767032E-2</v>
      </c>
      <c r="E31" s="26" t="s">
        <v>24</v>
      </c>
      <c r="F31" s="23">
        <v>6.5467626653588518E-2</v>
      </c>
    </row>
    <row r="32" spans="1:9" ht="17" thickBot="1" x14ac:dyDescent="0.25">
      <c r="A32" s="20">
        <v>8</v>
      </c>
      <c r="B32" s="20">
        <v>0.22422081718489065</v>
      </c>
      <c r="C32" s="20">
        <v>-7.1220817184890622E-2</v>
      </c>
      <c r="E32" s="33" t="s">
        <v>25</v>
      </c>
      <c r="F32" s="24">
        <v>59</v>
      </c>
    </row>
    <row r="33" spans="1:3" x14ac:dyDescent="0.2">
      <c r="A33" s="20">
        <v>9</v>
      </c>
      <c r="B33" s="20">
        <v>0.22944654010845339</v>
      </c>
      <c r="C33" s="20">
        <v>7.455345989154688E-2</v>
      </c>
    </row>
    <row r="34" spans="1:3" x14ac:dyDescent="0.2">
      <c r="A34" s="20">
        <v>10</v>
      </c>
      <c r="B34" s="20">
        <v>4.5596106343121029E-2</v>
      </c>
      <c r="C34" s="20">
        <v>-2.1596106343121008E-2</v>
      </c>
    </row>
    <row r="35" spans="1:3" x14ac:dyDescent="0.2">
      <c r="A35" s="20">
        <v>11</v>
      </c>
      <c r="B35" s="20">
        <v>0.13609612606481575</v>
      </c>
      <c r="C35" s="20">
        <v>-3.1096126064815766E-2</v>
      </c>
    </row>
    <row r="36" spans="1:3" x14ac:dyDescent="0.2">
      <c r="A36" s="20">
        <v>12</v>
      </c>
      <c r="B36" s="20">
        <v>6.7924195198342224E-2</v>
      </c>
      <c r="C36" s="20">
        <v>3.3075804801657754E-2</v>
      </c>
    </row>
    <row r="37" spans="1:3" x14ac:dyDescent="0.2">
      <c r="A37" s="20">
        <v>13</v>
      </c>
      <c r="B37" s="20">
        <v>0.23942292023525441</v>
      </c>
      <c r="C37" s="20">
        <v>0.10357707976474556</v>
      </c>
    </row>
    <row r="38" spans="1:3" x14ac:dyDescent="0.2">
      <c r="A38" s="20">
        <v>14</v>
      </c>
      <c r="B38" s="20">
        <v>5.2009493567492661E-2</v>
      </c>
      <c r="C38" s="20">
        <v>9.3990506432507254E-2</v>
      </c>
    </row>
    <row r="39" spans="1:3" x14ac:dyDescent="0.2">
      <c r="A39" s="20">
        <v>15</v>
      </c>
      <c r="B39" s="20">
        <v>0.2268336786466722</v>
      </c>
      <c r="C39" s="20">
        <v>4.1166321353328039E-2</v>
      </c>
    </row>
    <row r="40" spans="1:3" x14ac:dyDescent="0.2">
      <c r="A40" s="20">
        <v>16</v>
      </c>
      <c r="B40" s="20">
        <v>0.41543476961524284</v>
      </c>
      <c r="C40" s="20">
        <v>-8.4347696152428098E-3</v>
      </c>
    </row>
    <row r="41" spans="1:3" x14ac:dyDescent="0.2">
      <c r="A41" s="20">
        <v>17</v>
      </c>
      <c r="B41" s="20">
        <v>0.26863946203517169</v>
      </c>
      <c r="C41" s="20">
        <v>1.536053796482767E-2</v>
      </c>
    </row>
    <row r="42" spans="1:3" x14ac:dyDescent="0.2">
      <c r="A42" s="20">
        <v>18</v>
      </c>
      <c r="B42" s="20">
        <v>0.35771428459589477</v>
      </c>
      <c r="C42" s="20">
        <v>0.10828571540410498</v>
      </c>
    </row>
    <row r="43" spans="1:3" x14ac:dyDescent="0.2">
      <c r="A43" s="20">
        <v>19</v>
      </c>
      <c r="B43" s="20">
        <v>0.27006465919614298</v>
      </c>
      <c r="C43" s="20">
        <v>-1.2064659196142968E-2</v>
      </c>
    </row>
    <row r="44" spans="1:3" x14ac:dyDescent="0.2">
      <c r="A44" s="20">
        <v>20</v>
      </c>
      <c r="B44" s="20">
        <v>0.49239541630770783</v>
      </c>
      <c r="C44" s="20">
        <v>-0.21839541630770781</v>
      </c>
    </row>
    <row r="45" spans="1:3" x14ac:dyDescent="0.2">
      <c r="A45" s="20">
        <v>21</v>
      </c>
      <c r="B45" s="20">
        <v>0.81425244182712053</v>
      </c>
      <c r="C45" s="20">
        <v>0.1137475581728794</v>
      </c>
    </row>
    <row r="46" spans="1:3" x14ac:dyDescent="0.2">
      <c r="A46" s="20">
        <v>22</v>
      </c>
      <c r="B46" s="20">
        <v>0.30973264684318502</v>
      </c>
      <c r="C46" s="20">
        <v>2.426735315681483E-2</v>
      </c>
    </row>
    <row r="47" spans="1:3" x14ac:dyDescent="0.2">
      <c r="A47" s="20">
        <v>23</v>
      </c>
      <c r="B47" s="20">
        <v>0.30070639815703171</v>
      </c>
      <c r="C47" s="20">
        <v>0.13929360184296824</v>
      </c>
    </row>
    <row r="48" spans="1:3" x14ac:dyDescent="0.2">
      <c r="A48" s="20">
        <v>24</v>
      </c>
      <c r="B48" s="20">
        <v>0.21638223279954724</v>
      </c>
      <c r="C48" s="20">
        <v>-0.12038223279954738</v>
      </c>
    </row>
    <row r="49" spans="1:3" x14ac:dyDescent="0.2">
      <c r="A49" s="20">
        <v>25</v>
      </c>
      <c r="B49" s="20">
        <v>2.3743083208223249E-2</v>
      </c>
      <c r="C49" s="20">
        <v>0.12725691679177678</v>
      </c>
    </row>
    <row r="50" spans="1:3" x14ac:dyDescent="0.2">
      <c r="A50" s="20">
        <v>26</v>
      </c>
      <c r="B50" s="20">
        <v>5.8897946512188895E-2</v>
      </c>
      <c r="C50" s="20">
        <v>1.7102053487811172E-2</v>
      </c>
    </row>
    <row r="51" spans="1:3" x14ac:dyDescent="0.2">
      <c r="A51" s="20">
        <v>27</v>
      </c>
      <c r="B51" s="20">
        <v>0.11709349725186105</v>
      </c>
      <c r="C51" s="20">
        <v>-7.009349725186112E-2</v>
      </c>
    </row>
    <row r="52" spans="1:3" x14ac:dyDescent="0.2">
      <c r="A52" s="20">
        <v>28</v>
      </c>
      <c r="B52" s="20">
        <v>0.36674053328204798</v>
      </c>
      <c r="C52" s="20">
        <v>1.1259466717951916E-2</v>
      </c>
    </row>
    <row r="53" spans="1:3" x14ac:dyDescent="0.2">
      <c r="A53" s="20">
        <v>29</v>
      </c>
      <c r="B53" s="20">
        <v>9.2390079795020535E-2</v>
      </c>
      <c r="C53" s="20">
        <v>2.3609920204979568E-2</v>
      </c>
    </row>
    <row r="54" spans="1:3" x14ac:dyDescent="0.2">
      <c r="A54" s="20">
        <v>30</v>
      </c>
      <c r="B54" s="20">
        <v>6.4836268016236931E-2</v>
      </c>
      <c r="C54" s="20">
        <v>-2.1836268016237004E-2</v>
      </c>
    </row>
    <row r="55" spans="1:3" x14ac:dyDescent="0.2">
      <c r="A55" s="20">
        <v>31</v>
      </c>
      <c r="B55" s="20">
        <v>4.3220777741501543E-2</v>
      </c>
      <c r="C55" s="20">
        <v>6.7792222584985018E-3</v>
      </c>
    </row>
    <row r="56" spans="1:3" x14ac:dyDescent="0.2">
      <c r="A56" s="20">
        <v>32</v>
      </c>
      <c r="B56" s="20">
        <v>9.4052809816154201E-2</v>
      </c>
      <c r="C56" s="20">
        <v>-8.1052809816154078E-2</v>
      </c>
    </row>
    <row r="57" spans="1:3" x14ac:dyDescent="0.2">
      <c r="A57" s="20">
        <v>33</v>
      </c>
      <c r="B57" s="20">
        <v>0.23395966445152996</v>
      </c>
      <c r="C57" s="20">
        <v>-5.1959664451530024E-2</v>
      </c>
    </row>
    <row r="58" spans="1:3" x14ac:dyDescent="0.2">
      <c r="A58" s="20">
        <v>34</v>
      </c>
      <c r="B58" s="20">
        <v>8.5976692570648564E-2</v>
      </c>
      <c r="C58" s="20">
        <v>-5.7976692570648539E-2</v>
      </c>
    </row>
    <row r="59" spans="1:3" x14ac:dyDescent="0.2">
      <c r="A59" s="20">
        <v>35</v>
      </c>
      <c r="B59" s="20">
        <v>2.13677546066041E-2</v>
      </c>
      <c r="C59" s="20">
        <v>6.2632245393395972E-2</v>
      </c>
    </row>
    <row r="60" spans="1:3" x14ac:dyDescent="0.2">
      <c r="A60" s="20">
        <v>36</v>
      </c>
      <c r="B60" s="20">
        <v>0.17742684373299081</v>
      </c>
      <c r="C60" s="20">
        <v>5.7315626700935041E-4</v>
      </c>
    </row>
    <row r="61" spans="1:3" x14ac:dyDescent="0.2">
      <c r="A61" s="20">
        <v>37</v>
      </c>
      <c r="B61" s="20">
        <v>0.14060925040789199</v>
      </c>
      <c r="C61" s="20">
        <v>4.3907495921082507E-3</v>
      </c>
    </row>
    <row r="62" spans="1:3" x14ac:dyDescent="0.2">
      <c r="A62" s="20">
        <v>38</v>
      </c>
      <c r="B62" s="20">
        <v>0.11329297148927045</v>
      </c>
      <c r="C62" s="20">
        <v>1.9707028510729557E-2</v>
      </c>
    </row>
    <row r="63" spans="1:3" x14ac:dyDescent="0.2">
      <c r="A63" s="20">
        <v>39</v>
      </c>
      <c r="B63" s="20">
        <v>0.15628641917857919</v>
      </c>
      <c r="C63" s="20">
        <v>-2.0286419178579512E-2</v>
      </c>
    </row>
    <row r="64" spans="1:3" x14ac:dyDescent="0.2">
      <c r="A64" s="20">
        <v>40</v>
      </c>
      <c r="B64" s="20">
        <v>0.33134813711792044</v>
      </c>
      <c r="C64" s="20">
        <v>-4.634813711792074E-2</v>
      </c>
    </row>
    <row r="65" spans="1:3" x14ac:dyDescent="0.2">
      <c r="A65" s="20">
        <v>41</v>
      </c>
      <c r="B65" s="20">
        <v>6.4123669435751124E-2</v>
      </c>
      <c r="C65" s="20">
        <v>-1.8123669435751083E-2</v>
      </c>
    </row>
    <row r="66" spans="1:3" x14ac:dyDescent="0.2">
      <c r="A66" s="20">
        <v>42</v>
      </c>
      <c r="B66" s="20">
        <v>7.8850706765790785E-2</v>
      </c>
      <c r="C66" s="20">
        <v>2.1149293234209082E-2</v>
      </c>
    </row>
    <row r="67" spans="1:3" x14ac:dyDescent="0.2">
      <c r="A67" s="20">
        <v>43</v>
      </c>
      <c r="B67" s="20">
        <v>6.5311333736560701E-2</v>
      </c>
      <c r="C67" s="20">
        <v>1.7688666263439484E-2</v>
      </c>
    </row>
    <row r="68" spans="1:3" x14ac:dyDescent="0.2">
      <c r="A68" s="20">
        <v>44</v>
      </c>
      <c r="B68" s="20">
        <v>0.14298457900951114</v>
      </c>
      <c r="C68" s="20">
        <v>8.601542099048895E-2</v>
      </c>
    </row>
    <row r="69" spans="1:3" x14ac:dyDescent="0.2">
      <c r="A69" s="20">
        <v>45</v>
      </c>
      <c r="B69" s="20">
        <v>5.8422880791864966E-2</v>
      </c>
      <c r="C69" s="20">
        <v>-4.4422880791864731E-2</v>
      </c>
    </row>
    <row r="70" spans="1:3" x14ac:dyDescent="0.2">
      <c r="A70" s="20">
        <v>46</v>
      </c>
      <c r="B70" s="20">
        <v>0.10236645992182156</v>
      </c>
      <c r="C70" s="20">
        <v>-6.4366459921821745E-2</v>
      </c>
    </row>
    <row r="71" spans="1:3" x14ac:dyDescent="0.2">
      <c r="A71" s="20">
        <v>47</v>
      </c>
      <c r="B71" s="20">
        <v>0.18930348674108757</v>
      </c>
      <c r="C71" s="20">
        <v>4.7696513258912526E-2</v>
      </c>
    </row>
    <row r="72" spans="1:3" x14ac:dyDescent="0.2">
      <c r="A72" s="20">
        <v>48</v>
      </c>
      <c r="B72" s="20">
        <v>0.15438615629728381</v>
      </c>
      <c r="C72" s="20">
        <v>5.9613843702716163E-2</v>
      </c>
    </row>
    <row r="73" spans="1:3" x14ac:dyDescent="0.2">
      <c r="A73" s="20">
        <v>49</v>
      </c>
      <c r="B73" s="20">
        <v>0.33396099857970163</v>
      </c>
      <c r="C73" s="20">
        <v>-7.7960998579701402E-2</v>
      </c>
    </row>
    <row r="74" spans="1:3" x14ac:dyDescent="0.2">
      <c r="A74" s="20">
        <v>50</v>
      </c>
      <c r="B74" s="20">
        <v>0.12897014025995762</v>
      </c>
      <c r="C74" s="20">
        <v>3.402985974004219E-2</v>
      </c>
    </row>
    <row r="75" spans="1:3" x14ac:dyDescent="0.2">
      <c r="A75" s="20">
        <v>51</v>
      </c>
      <c r="B75" s="20">
        <v>0.24726150462059801</v>
      </c>
      <c r="C75" s="20">
        <v>-4.026150462059816E-2</v>
      </c>
    </row>
    <row r="76" spans="1:3" x14ac:dyDescent="0.2">
      <c r="A76" s="20">
        <v>52</v>
      </c>
      <c r="B76" s="20">
        <v>0.2415607159767115</v>
      </c>
      <c r="C76" s="20">
        <v>-7.5607159767115129E-3</v>
      </c>
    </row>
    <row r="77" spans="1:3" x14ac:dyDescent="0.2">
      <c r="A77" s="20">
        <v>53</v>
      </c>
      <c r="B77" s="20">
        <v>0.14797276907291215</v>
      </c>
      <c r="C77" s="20">
        <v>-9.972769072912252E-3</v>
      </c>
    </row>
    <row r="78" spans="1:3" x14ac:dyDescent="0.2">
      <c r="A78" s="20">
        <v>54</v>
      </c>
      <c r="B78" s="20">
        <v>0.11828116155267113</v>
      </c>
      <c r="C78" s="20">
        <v>4.6718838447328909E-2</v>
      </c>
    </row>
    <row r="79" spans="1:3" x14ac:dyDescent="0.2">
      <c r="A79" s="20">
        <v>55</v>
      </c>
      <c r="B79" s="20">
        <v>3.110660187324308E-2</v>
      </c>
      <c r="C79" s="20">
        <v>1.6893398126756963E-2</v>
      </c>
    </row>
    <row r="80" spans="1:3" x14ac:dyDescent="0.2">
      <c r="A80" s="20">
        <v>56</v>
      </c>
      <c r="B80" s="20">
        <v>0.28075363790342983</v>
      </c>
      <c r="C80" s="20">
        <v>-1.1753637903429703E-2</v>
      </c>
    </row>
    <row r="81" spans="1:3" x14ac:dyDescent="0.2">
      <c r="A81" s="20">
        <v>57</v>
      </c>
      <c r="B81" s="20">
        <v>8.9539685473077626E-2</v>
      </c>
      <c r="C81" s="20">
        <v>9.4460314526922537E-2</v>
      </c>
    </row>
    <row r="82" spans="1:3" x14ac:dyDescent="0.2">
      <c r="A82" s="20">
        <v>58</v>
      </c>
      <c r="B82" s="20">
        <v>8.4313962549514884E-2</v>
      </c>
      <c r="C82" s="20">
        <v>-5.7313962549514749E-2</v>
      </c>
    </row>
    <row r="83" spans="1:3" ht="17" thickBot="1" x14ac:dyDescent="0.25">
      <c r="A83" s="21">
        <v>59</v>
      </c>
      <c r="B83" s="21">
        <v>9.2390079795020535E-2</v>
      </c>
      <c r="C83" s="21">
        <v>-8.3900797950204609E-3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CECC7D-AB78-E245-A1AC-7FB922ACE3D6}">
  <dimension ref="A1:I83"/>
  <sheetViews>
    <sheetView zoomScale="150" workbookViewId="0">
      <selection activeCell="E18" sqref="E18"/>
    </sheetView>
  </sheetViews>
  <sheetFormatPr baseColWidth="10" defaultRowHeight="16" x14ac:dyDescent="0.2"/>
  <sheetData>
    <row r="1" spans="1:9" x14ac:dyDescent="0.2">
      <c r="A1" t="s">
        <v>19</v>
      </c>
    </row>
    <row r="2" spans="1:9" ht="17" thickBot="1" x14ac:dyDescent="0.25"/>
    <row r="3" spans="1:9" x14ac:dyDescent="0.2">
      <c r="A3" s="30" t="s">
        <v>20</v>
      </c>
      <c r="B3" s="30"/>
    </row>
    <row r="4" spans="1:9" x14ac:dyDescent="0.2">
      <c r="A4" s="20" t="s">
        <v>21</v>
      </c>
      <c r="B4" s="20">
        <v>0.9496060327275303</v>
      </c>
    </row>
    <row r="5" spans="1:9" x14ac:dyDescent="0.2">
      <c r="A5" s="23" t="s">
        <v>22</v>
      </c>
      <c r="B5" s="23">
        <v>0.90175161739251941</v>
      </c>
    </row>
    <row r="6" spans="1:9" x14ac:dyDescent="0.2">
      <c r="A6" s="20" t="s">
        <v>23</v>
      </c>
      <c r="B6" s="20">
        <v>0.90002796155730047</v>
      </c>
    </row>
    <row r="7" spans="1:9" x14ac:dyDescent="0.2">
      <c r="A7" s="20" t="s">
        <v>24</v>
      </c>
      <c r="B7" s="20">
        <v>7.2991184189776973E-2</v>
      </c>
    </row>
    <row r="8" spans="1:9" ht="17" thickBot="1" x14ac:dyDescent="0.25">
      <c r="A8" s="21" t="s">
        <v>25</v>
      </c>
      <c r="B8" s="21">
        <v>59</v>
      </c>
    </row>
    <row r="10" spans="1:9" ht="17" thickBot="1" x14ac:dyDescent="0.25">
      <c r="A10" t="s">
        <v>26</v>
      </c>
    </row>
    <row r="11" spans="1:9" x14ac:dyDescent="0.2">
      <c r="A11" s="22"/>
      <c r="B11" s="22" t="s">
        <v>31</v>
      </c>
      <c r="C11" s="22" t="s">
        <v>32</v>
      </c>
      <c r="D11" s="22" t="s">
        <v>33</v>
      </c>
      <c r="E11" s="22" t="s">
        <v>34</v>
      </c>
      <c r="F11" s="22" t="s">
        <v>35</v>
      </c>
    </row>
    <row r="12" spans="1:9" x14ac:dyDescent="0.2">
      <c r="A12" s="20" t="s">
        <v>27</v>
      </c>
      <c r="B12" s="20">
        <v>1</v>
      </c>
      <c r="C12" s="20">
        <v>2.7872581573528898</v>
      </c>
      <c r="D12" s="20">
        <v>2.7872581573528898</v>
      </c>
      <c r="E12" s="20">
        <v>523.16222239224953</v>
      </c>
      <c r="F12" s="20">
        <v>2.1136358868071211E-30</v>
      </c>
    </row>
    <row r="13" spans="1:9" x14ac:dyDescent="0.2">
      <c r="A13" s="20" t="s">
        <v>28</v>
      </c>
      <c r="B13" s="20">
        <v>57</v>
      </c>
      <c r="C13" s="20">
        <v>0.30367963925727903</v>
      </c>
      <c r="D13" s="20">
        <v>5.3277129694259476E-3</v>
      </c>
      <c r="E13" s="20"/>
      <c r="F13" s="20"/>
    </row>
    <row r="14" spans="1:9" ht="17" thickBot="1" x14ac:dyDescent="0.25">
      <c r="A14" s="21" t="s">
        <v>29</v>
      </c>
      <c r="B14" s="21">
        <v>58</v>
      </c>
      <c r="C14" s="21">
        <v>3.0909377966101688</v>
      </c>
      <c r="D14" s="21"/>
      <c r="E14" s="21"/>
      <c r="F14" s="21"/>
    </row>
    <row r="15" spans="1:9" ht="17" thickBot="1" x14ac:dyDescent="0.25"/>
    <row r="16" spans="1:9" x14ac:dyDescent="0.2">
      <c r="A16" s="22"/>
      <c r="B16" s="22" t="s">
        <v>36</v>
      </c>
      <c r="C16" s="22" t="s">
        <v>24</v>
      </c>
      <c r="D16" s="22" t="s">
        <v>37</v>
      </c>
      <c r="E16" s="22" t="s">
        <v>38</v>
      </c>
      <c r="F16" s="22" t="s">
        <v>39</v>
      </c>
      <c r="G16" s="22" t="s">
        <v>40</v>
      </c>
      <c r="H16" s="22" t="s">
        <v>41</v>
      </c>
      <c r="I16" s="22" t="s">
        <v>42</v>
      </c>
    </row>
    <row r="17" spans="1:9" x14ac:dyDescent="0.2">
      <c r="A17" s="20" t="s">
        <v>30</v>
      </c>
      <c r="B17" s="20">
        <v>-2.3206858376764068E-3</v>
      </c>
      <c r="C17" s="20">
        <v>9.5509674081974711E-3</v>
      </c>
      <c r="D17" s="20">
        <v>-0.24297913902256565</v>
      </c>
      <c r="E17" s="20">
        <v>0.80889382610715743</v>
      </c>
      <c r="F17" s="20">
        <v>-2.144616817540599E-2</v>
      </c>
      <c r="G17" s="20">
        <v>1.6804796500053176E-2</v>
      </c>
      <c r="H17" s="20">
        <v>-2.144616817540599E-2</v>
      </c>
      <c r="I17" s="20">
        <v>1.6804796500053176E-2</v>
      </c>
    </row>
    <row r="18" spans="1:9" ht="17" thickBot="1" x14ac:dyDescent="0.25">
      <c r="A18" s="21" t="s">
        <v>43</v>
      </c>
      <c r="B18" s="21">
        <v>2.5109956649658871E-2</v>
      </c>
      <c r="C18" s="21">
        <v>1.0978114976520101E-3</v>
      </c>
      <c r="D18" s="21">
        <v>22.872739722041384</v>
      </c>
      <c r="E18" s="24">
        <v>2.1136358868070913E-30</v>
      </c>
      <c r="F18" s="21">
        <v>2.291162704479819E-2</v>
      </c>
      <c r="G18" s="21">
        <v>2.7308286254519552E-2</v>
      </c>
      <c r="H18" s="21">
        <v>2.291162704479819E-2</v>
      </c>
      <c r="I18" s="21">
        <v>2.7308286254519552E-2</v>
      </c>
    </row>
    <row r="22" spans="1:9" x14ac:dyDescent="0.2">
      <c r="A22" t="s">
        <v>44</v>
      </c>
    </row>
    <row r="23" spans="1:9" ht="17" thickBot="1" x14ac:dyDescent="0.25">
      <c r="F23" t="s">
        <v>85</v>
      </c>
      <c r="G23" t="s">
        <v>16</v>
      </c>
      <c r="H23" t="s">
        <v>86</v>
      </c>
    </row>
    <row r="24" spans="1:9" x14ac:dyDescent="0.2">
      <c r="A24" s="22" t="s">
        <v>45</v>
      </c>
      <c r="B24" s="22" t="s">
        <v>46</v>
      </c>
      <c r="C24" s="22" t="s">
        <v>47</v>
      </c>
      <c r="E24" s="20" t="s">
        <v>21</v>
      </c>
      <c r="F24" s="20">
        <v>0.9496060327275303</v>
      </c>
      <c r="G24" s="65">
        <v>0.92457752000000004</v>
      </c>
      <c r="H24" s="65">
        <v>0.97910848800000005</v>
      </c>
    </row>
    <row r="25" spans="1:9" x14ac:dyDescent="0.2">
      <c r="A25" s="20">
        <v>1</v>
      </c>
      <c r="B25" s="20">
        <v>6.9744889746844493E-2</v>
      </c>
      <c r="C25" s="20">
        <v>2.425511025315559E-2</v>
      </c>
      <c r="E25" s="23" t="s">
        <v>22</v>
      </c>
      <c r="F25" s="23">
        <v>0.90175161739251941</v>
      </c>
      <c r="G25" s="66">
        <v>0.85484358999999999</v>
      </c>
      <c r="H25" s="66">
        <v>0.958653431</v>
      </c>
    </row>
    <row r="26" spans="1:9" x14ac:dyDescent="0.2">
      <c r="A26" s="20">
        <v>2</v>
      </c>
      <c r="B26" s="20">
        <v>0.22567772054122609</v>
      </c>
      <c r="C26" s="20">
        <v>-6.1677720541226166E-2</v>
      </c>
      <c r="E26" s="20" t="s">
        <v>23</v>
      </c>
      <c r="F26" s="20">
        <v>0.90002796155730047</v>
      </c>
      <c r="G26" s="65">
        <v>0.85229699000000003</v>
      </c>
      <c r="H26" s="65">
        <v>0.95792805199999997</v>
      </c>
    </row>
    <row r="27" spans="1:9" x14ac:dyDescent="0.2">
      <c r="A27" s="20">
        <v>3</v>
      </c>
      <c r="B27" s="20">
        <v>-3.3457032083253277E-2</v>
      </c>
      <c r="C27" s="20">
        <v>6.5457032083253305E-2</v>
      </c>
      <c r="E27" s="20" t="s">
        <v>24</v>
      </c>
      <c r="F27" s="20">
        <v>7.2991184189776973E-2</v>
      </c>
      <c r="G27" s="65">
        <v>8.8720869999999993E-2</v>
      </c>
      <c r="H27" s="65">
        <v>4.7350813999999998E-2</v>
      </c>
    </row>
    <row r="28" spans="1:9" ht="17" thickBot="1" x14ac:dyDescent="0.25">
      <c r="A28" s="20">
        <v>4</v>
      </c>
      <c r="B28" s="20">
        <v>2.1533772979499592E-2</v>
      </c>
      <c r="C28" s="20">
        <v>-2.6533772979499486E-2</v>
      </c>
      <c r="E28" s="21" t="s">
        <v>25</v>
      </c>
      <c r="F28" s="21">
        <v>59</v>
      </c>
      <c r="G28" s="67">
        <v>59</v>
      </c>
      <c r="H28" s="67">
        <v>59</v>
      </c>
    </row>
    <row r="29" spans="1:9" x14ac:dyDescent="0.2">
      <c r="A29" s="20">
        <v>5</v>
      </c>
      <c r="B29" s="20">
        <v>9.9123539026945234E-2</v>
      </c>
      <c r="C29" s="20">
        <v>-5.3123539026945416E-2</v>
      </c>
    </row>
    <row r="30" spans="1:9" x14ac:dyDescent="0.2">
      <c r="A30" s="20">
        <v>6</v>
      </c>
      <c r="B30" s="20">
        <v>0.11795600651418975</v>
      </c>
      <c r="C30" s="20">
        <v>-9.9560065141896525E-3</v>
      </c>
    </row>
    <row r="31" spans="1:9" x14ac:dyDescent="0.2">
      <c r="A31" s="20">
        <v>7</v>
      </c>
      <c r="B31" s="20">
        <v>-0.12083968122406626</v>
      </c>
      <c r="C31" s="20">
        <v>5.7839681224066089E-2</v>
      </c>
    </row>
    <row r="32" spans="1:9" x14ac:dyDescent="0.2">
      <c r="A32" s="20">
        <v>8</v>
      </c>
      <c r="B32" s="20">
        <v>0.21563373788136242</v>
      </c>
      <c r="C32" s="20">
        <v>-6.2633737881362395E-2</v>
      </c>
    </row>
    <row r="33" spans="1:3" x14ac:dyDescent="0.2">
      <c r="A33" s="20">
        <v>9</v>
      </c>
      <c r="B33" s="20">
        <v>0.22115792834428769</v>
      </c>
      <c r="C33" s="20">
        <v>8.2842071655712585E-2</v>
      </c>
    </row>
    <row r="34" spans="1:3" x14ac:dyDescent="0.2">
      <c r="A34" s="20">
        <v>10</v>
      </c>
      <c r="B34" s="20">
        <v>-3.144823555128097E-2</v>
      </c>
      <c r="C34" s="20">
        <v>7.4482355512809489E-3</v>
      </c>
    </row>
    <row r="35" spans="1:3" x14ac:dyDescent="0.2">
      <c r="A35" s="20">
        <v>11</v>
      </c>
      <c r="B35" s="20">
        <v>0.12247579871112851</v>
      </c>
      <c r="C35" s="20">
        <v>-1.7475798711128532E-2</v>
      </c>
    </row>
    <row r="36" spans="1:3" x14ac:dyDescent="0.2">
      <c r="A36" s="20">
        <v>12</v>
      </c>
      <c r="B36" s="20">
        <v>-5.5051594801960251E-2</v>
      </c>
      <c r="C36" s="20">
        <v>-4.5948405198039728E-2</v>
      </c>
    </row>
    <row r="37" spans="1:3" x14ac:dyDescent="0.2">
      <c r="A37" s="20">
        <v>13</v>
      </c>
      <c r="B37" s="20">
        <v>0.23170411013714445</v>
      </c>
      <c r="C37" s="20">
        <v>0.11129588986285552</v>
      </c>
    </row>
    <row r="38" spans="1:3" x14ac:dyDescent="0.2">
      <c r="A38" s="20">
        <v>14</v>
      </c>
      <c r="B38" s="20">
        <v>3.358655217133559E-2</v>
      </c>
      <c r="C38" s="20">
        <v>0.11241344782866432</v>
      </c>
    </row>
    <row r="39" spans="1:3" x14ac:dyDescent="0.2">
      <c r="A39" s="20">
        <v>15</v>
      </c>
      <c r="B39" s="20">
        <v>0.21839583311282523</v>
      </c>
      <c r="C39" s="20">
        <v>4.9604166887175005E-2</v>
      </c>
    </row>
    <row r="40" spans="1:3" x14ac:dyDescent="0.2">
      <c r="A40" s="20">
        <v>16</v>
      </c>
      <c r="B40" s="20">
        <v>0.41776888891111624</v>
      </c>
      <c r="C40" s="20">
        <v>-1.0768888911116214E-2</v>
      </c>
    </row>
    <row r="41" spans="1:3" x14ac:dyDescent="0.2">
      <c r="A41" s="20">
        <v>17</v>
      </c>
      <c r="B41" s="20">
        <v>0.26258935681622497</v>
      </c>
      <c r="C41" s="20">
        <v>2.1410643183774392E-2</v>
      </c>
    </row>
    <row r="42" spans="1:3" x14ac:dyDescent="0.2">
      <c r="A42" s="20">
        <v>18</v>
      </c>
      <c r="B42" s="20">
        <v>-0.36139306592779857</v>
      </c>
      <c r="C42" s="20">
        <v>-0.10460693407220117</v>
      </c>
    </row>
    <row r="43" spans="1:3" x14ac:dyDescent="0.2">
      <c r="A43" s="20">
        <v>19</v>
      </c>
      <c r="B43" s="20">
        <v>-0.26873732589055699</v>
      </c>
      <c r="C43" s="20">
        <v>1.0737325890556981E-2</v>
      </c>
    </row>
    <row r="44" spans="1:3" x14ac:dyDescent="0.2">
      <c r="A44" s="20">
        <v>20</v>
      </c>
      <c r="B44" s="20">
        <v>-0.50376652013136403</v>
      </c>
      <c r="C44" s="20">
        <v>0.229766520131364</v>
      </c>
    </row>
    <row r="45" spans="1:3" x14ac:dyDescent="0.2">
      <c r="A45" s="20">
        <v>21</v>
      </c>
      <c r="B45" s="20">
        <v>-0.8440064327342417</v>
      </c>
      <c r="C45" s="20">
        <v>-8.399356726575824E-2</v>
      </c>
    </row>
    <row r="46" spans="1:3" x14ac:dyDescent="0.2">
      <c r="A46" s="20">
        <v>22</v>
      </c>
      <c r="B46" s="20">
        <v>-0.31067095349548735</v>
      </c>
      <c r="C46" s="20">
        <v>-2.3329046504512507E-2</v>
      </c>
    </row>
    <row r="47" spans="1:3" x14ac:dyDescent="0.2">
      <c r="A47" s="20">
        <v>23</v>
      </c>
      <c r="B47" s="20">
        <v>-0.30112916996861694</v>
      </c>
      <c r="C47" s="20">
        <v>-0.13887083003138301</v>
      </c>
    </row>
    <row r="48" spans="1:3" x14ac:dyDescent="0.2">
      <c r="A48" s="20">
        <v>24</v>
      </c>
      <c r="B48" s="20">
        <v>0.2073474521869752</v>
      </c>
      <c r="C48" s="20">
        <v>-0.11134745218697534</v>
      </c>
    </row>
    <row r="49" spans="1:3" x14ac:dyDescent="0.2">
      <c r="A49" s="20">
        <v>25</v>
      </c>
      <c r="B49" s="20">
        <v>3.7057037582415939E-3</v>
      </c>
      <c r="C49" s="20">
        <v>-0.15470570375824161</v>
      </c>
    </row>
    <row r="50" spans="1:3" x14ac:dyDescent="0.2">
      <c r="A50" s="20">
        <v>26</v>
      </c>
      <c r="B50" s="20">
        <v>4.0868439599737003E-2</v>
      </c>
      <c r="C50" s="20">
        <v>3.5131560400263065E-2</v>
      </c>
    </row>
    <row r="51" spans="1:3" x14ac:dyDescent="0.2">
      <c r="A51" s="20">
        <v>27</v>
      </c>
      <c r="B51" s="20">
        <v>0.10238783339140095</v>
      </c>
      <c r="C51" s="20">
        <v>-0.14938783339140088</v>
      </c>
    </row>
    <row r="52" spans="1:3" x14ac:dyDescent="0.2">
      <c r="A52" s="20">
        <v>28</v>
      </c>
      <c r="B52" s="20">
        <v>0.36629347777931598</v>
      </c>
      <c r="C52" s="20">
        <v>1.1706522220683913E-2</v>
      </c>
    </row>
    <row r="53" spans="1:3" x14ac:dyDescent="0.2">
      <c r="A53" s="20">
        <v>29</v>
      </c>
      <c r="B53" s="20">
        <v>7.6273478475755746E-2</v>
      </c>
      <c r="C53" s="20">
        <v>3.9726521524244357E-2</v>
      </c>
    </row>
    <row r="54" spans="1:3" x14ac:dyDescent="0.2">
      <c r="A54" s="20">
        <v>30</v>
      </c>
      <c r="B54" s="20">
        <v>4.714592876215154E-2</v>
      </c>
      <c r="C54" s="20">
        <v>-4.1459287621516128E-3</v>
      </c>
    </row>
    <row r="55" spans="1:3" x14ac:dyDescent="0.2">
      <c r="A55" s="20">
        <v>31</v>
      </c>
      <c r="B55" s="20">
        <v>-2.8937239886314869E-2</v>
      </c>
      <c r="C55" s="20">
        <v>-2.1062760113685176E-2</v>
      </c>
    </row>
    <row r="56" spans="1:3" x14ac:dyDescent="0.2">
      <c r="A56" s="20">
        <v>32</v>
      </c>
      <c r="B56" s="20">
        <v>-8.2672547116584866E-2</v>
      </c>
      <c r="C56" s="20">
        <v>9.5672547116584988E-2</v>
      </c>
    </row>
    <row r="57" spans="1:3" x14ac:dyDescent="0.2">
      <c r="A57" s="20">
        <v>33</v>
      </c>
      <c r="B57" s="20">
        <v>0.22592882010772281</v>
      </c>
      <c r="C57" s="20">
        <v>-4.3928820107722866E-2</v>
      </c>
    </row>
    <row r="58" spans="1:3" x14ac:dyDescent="0.2">
      <c r="A58" s="20">
        <v>34</v>
      </c>
      <c r="B58" s="20">
        <v>6.9493790180347945E-2</v>
      </c>
      <c r="C58" s="20">
        <v>-4.149379018034792E-2</v>
      </c>
    </row>
    <row r="59" spans="1:3" x14ac:dyDescent="0.2">
      <c r="A59" s="20">
        <v>35</v>
      </c>
      <c r="B59" s="20">
        <v>1.1947080932758493E-3</v>
      </c>
      <c r="C59" s="20">
        <v>8.2805291906724227E-2</v>
      </c>
    </row>
    <row r="60" spans="1:3" x14ac:dyDescent="0.2">
      <c r="A60" s="20">
        <v>36</v>
      </c>
      <c r="B60" s="20">
        <v>-0.17080849495688727</v>
      </c>
      <c r="C60" s="20">
        <v>-7.1915050431128891E-3</v>
      </c>
    </row>
    <row r="61" spans="1:3" x14ac:dyDescent="0.2">
      <c r="A61" s="20">
        <v>37</v>
      </c>
      <c r="B61" s="20">
        <v>0.12724669047456327</v>
      </c>
      <c r="C61" s="20">
        <v>1.7753309525436967E-2</v>
      </c>
    </row>
    <row r="62" spans="1:3" x14ac:dyDescent="0.2">
      <c r="A62" s="20">
        <v>38</v>
      </c>
      <c r="B62" s="20">
        <v>9.8370240327455796E-2</v>
      </c>
      <c r="C62" s="20">
        <v>3.4629759672544211E-2</v>
      </c>
    </row>
    <row r="63" spans="1:3" x14ac:dyDescent="0.2">
      <c r="A63" s="20">
        <v>39</v>
      </c>
      <c r="B63" s="20">
        <v>0.14381926186333804</v>
      </c>
      <c r="C63" s="20">
        <v>-7.819261863338367E-3</v>
      </c>
    </row>
    <row r="64" spans="1:3" x14ac:dyDescent="0.2">
      <c r="A64" s="20">
        <v>40</v>
      </c>
      <c r="B64" s="20">
        <v>-0.33352101404667683</v>
      </c>
      <c r="C64" s="20">
        <v>4.8521014046677136E-2</v>
      </c>
    </row>
    <row r="65" spans="1:3" x14ac:dyDescent="0.2">
      <c r="A65" s="20">
        <v>41</v>
      </c>
      <c r="B65" s="20">
        <v>4.6392630062661748E-2</v>
      </c>
      <c r="C65" s="20">
        <v>-9.2392630062661796E-2</v>
      </c>
    </row>
    <row r="66" spans="1:3" x14ac:dyDescent="0.2">
      <c r="A66" s="20">
        <v>42</v>
      </c>
      <c r="B66" s="20">
        <v>6.1960803185450358E-2</v>
      </c>
      <c r="C66" s="20">
        <v>3.8039196814549509E-2</v>
      </c>
    </row>
    <row r="67" spans="1:3" x14ac:dyDescent="0.2">
      <c r="A67" s="20">
        <v>43</v>
      </c>
      <c r="B67" s="20">
        <v>-5.228949957049743E-2</v>
      </c>
      <c r="C67" s="20">
        <v>-3.0710500429502754E-2</v>
      </c>
    </row>
    <row r="68" spans="1:3" x14ac:dyDescent="0.2">
      <c r="A68" s="20">
        <v>44</v>
      </c>
      <c r="B68" s="20">
        <v>0.12975768613952904</v>
      </c>
      <c r="C68" s="20">
        <v>9.9242313860471054E-2</v>
      </c>
    </row>
    <row r="69" spans="1:3" x14ac:dyDescent="0.2">
      <c r="A69" s="20">
        <v>45</v>
      </c>
      <c r="B69" s="20">
        <v>4.0366240466743745E-2</v>
      </c>
      <c r="C69" s="20">
        <v>-2.6366240466743511E-2</v>
      </c>
    </row>
    <row r="70" spans="1:3" x14ac:dyDescent="0.2">
      <c r="A70" s="20">
        <v>46</v>
      </c>
      <c r="B70" s="20">
        <v>8.6819660268612514E-2</v>
      </c>
      <c r="C70" s="20">
        <v>-4.8819660268612702E-2</v>
      </c>
    </row>
    <row r="71" spans="1:3" x14ac:dyDescent="0.2">
      <c r="A71" s="20">
        <v>47</v>
      </c>
      <c r="B71" s="20">
        <v>0.17872210160636426</v>
      </c>
      <c r="C71" s="20">
        <v>5.8277898393635841E-2</v>
      </c>
    </row>
    <row r="72" spans="1:3" x14ac:dyDescent="0.2">
      <c r="A72" s="20">
        <v>48</v>
      </c>
      <c r="B72" s="20">
        <v>0.14181046533136538</v>
      </c>
      <c r="C72" s="20">
        <v>7.2189534668634592E-2</v>
      </c>
    </row>
    <row r="73" spans="1:3" x14ac:dyDescent="0.2">
      <c r="A73" s="20">
        <v>49</v>
      </c>
      <c r="B73" s="20">
        <v>0.33164173760278653</v>
      </c>
      <c r="C73" s="20">
        <v>-7.5641737602786308E-2</v>
      </c>
    </row>
    <row r="74" spans="1:3" x14ac:dyDescent="0.2">
      <c r="A74" s="20">
        <v>50</v>
      </c>
      <c r="B74" s="20">
        <v>0.11494281171623057</v>
      </c>
      <c r="C74" s="20">
        <v>4.8057188283769245E-2</v>
      </c>
    </row>
    <row r="75" spans="1:3" x14ac:dyDescent="0.2">
      <c r="A75" s="20">
        <v>51</v>
      </c>
      <c r="B75" s="20">
        <v>0.23999039583153184</v>
      </c>
      <c r="C75" s="20">
        <v>-3.2990395831531988E-2</v>
      </c>
    </row>
    <row r="76" spans="1:3" x14ac:dyDescent="0.2">
      <c r="A76" s="20">
        <v>52</v>
      </c>
      <c r="B76" s="20">
        <v>-0.23860537791096631</v>
      </c>
      <c r="C76" s="20">
        <v>4.605377910966324E-3</v>
      </c>
    </row>
    <row r="77" spans="1:3" x14ac:dyDescent="0.2">
      <c r="A77" s="20">
        <v>53</v>
      </c>
      <c r="B77" s="20">
        <v>-0.13967214871131076</v>
      </c>
      <c r="C77" s="20">
        <v>1.6721487113108557E-3</v>
      </c>
    </row>
    <row r="78" spans="1:3" x14ac:dyDescent="0.2">
      <c r="A78" s="20">
        <v>54</v>
      </c>
      <c r="B78" s="20">
        <v>0.10364333122388436</v>
      </c>
      <c r="C78" s="20">
        <v>6.1356668776115675E-2</v>
      </c>
    </row>
    <row r="79" spans="1:3" x14ac:dyDescent="0.2">
      <c r="A79" s="20">
        <v>55</v>
      </c>
      <c r="B79" s="20">
        <v>1.1489790319635901E-2</v>
      </c>
      <c r="C79" s="20">
        <v>-5.9489790319635943E-2</v>
      </c>
    </row>
    <row r="80" spans="1:3" x14ac:dyDescent="0.2">
      <c r="A80" s="20">
        <v>56</v>
      </c>
      <c r="B80" s="20">
        <v>-0.28003680638290357</v>
      </c>
      <c r="C80" s="20">
        <v>1.1036806382903441E-2</v>
      </c>
    </row>
    <row r="81" spans="1:3" x14ac:dyDescent="0.2">
      <c r="A81" s="20">
        <v>57</v>
      </c>
      <c r="B81" s="20">
        <v>7.3260283677796925E-2</v>
      </c>
      <c r="C81" s="20">
        <v>0.11073971632220324</v>
      </c>
    </row>
    <row r="82" spans="1:3" x14ac:dyDescent="0.2">
      <c r="A82" s="20">
        <v>58</v>
      </c>
      <c r="B82" s="20">
        <v>6.7736093214871645E-2</v>
      </c>
      <c r="C82" s="20">
        <v>-9.473609321487178E-2</v>
      </c>
    </row>
    <row r="83" spans="1:3" ht="17" thickBot="1" x14ac:dyDescent="0.25">
      <c r="A83" s="21">
        <v>59</v>
      </c>
      <c r="B83" s="21">
        <v>-8.0914850151108553E-2</v>
      </c>
      <c r="C83" s="21">
        <v>-3.0851498488915219E-3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77969F-F6BD-5C41-A8BA-A265AD52C0C3}">
  <dimension ref="A1:I83"/>
  <sheetViews>
    <sheetView zoomScale="150" workbookViewId="0">
      <selection activeCell="B5" sqref="B5"/>
    </sheetView>
  </sheetViews>
  <sheetFormatPr baseColWidth="10" defaultRowHeight="16" x14ac:dyDescent="0.2"/>
  <cols>
    <col min="1" max="1" width="16.33203125" bestFit="1" customWidth="1"/>
    <col min="2" max="2" width="12.5" bestFit="1" customWidth="1"/>
    <col min="5" max="5" width="12.1640625" bestFit="1" customWidth="1"/>
    <col min="6" max="6" width="13" bestFit="1" customWidth="1"/>
  </cols>
  <sheetData>
    <row r="1" spans="1:9" x14ac:dyDescent="0.2">
      <c r="A1" t="s">
        <v>19</v>
      </c>
    </row>
    <row r="2" spans="1:9" ht="17" thickBot="1" x14ac:dyDescent="0.25"/>
    <row r="3" spans="1:9" x14ac:dyDescent="0.2">
      <c r="A3" s="32" t="s">
        <v>20</v>
      </c>
      <c r="B3" s="32"/>
    </row>
    <row r="4" spans="1:9" x14ac:dyDescent="0.2">
      <c r="A4" s="26" t="s">
        <v>21</v>
      </c>
      <c r="B4" s="23">
        <v>0.8676443993637506</v>
      </c>
    </row>
    <row r="5" spans="1:9" x14ac:dyDescent="0.2">
      <c r="A5" s="26" t="s">
        <v>22</v>
      </c>
      <c r="B5" s="34">
        <v>0.75280680374728348</v>
      </c>
    </row>
    <row r="6" spans="1:9" x14ac:dyDescent="0.2">
      <c r="A6" s="26" t="s">
        <v>23</v>
      </c>
      <c r="B6" s="23">
        <v>0.74847008100600776</v>
      </c>
    </row>
    <row r="7" spans="1:9" x14ac:dyDescent="0.2">
      <c r="A7" s="26" t="s">
        <v>24</v>
      </c>
      <c r="B7" s="23">
        <v>7.6287243918540915E-2</v>
      </c>
    </row>
    <row r="8" spans="1:9" ht="17" thickBot="1" x14ac:dyDescent="0.25">
      <c r="A8" s="33" t="s">
        <v>25</v>
      </c>
      <c r="B8" s="24">
        <v>59</v>
      </c>
    </row>
    <row r="10" spans="1:9" ht="17" thickBot="1" x14ac:dyDescent="0.25">
      <c r="A10" t="s">
        <v>26</v>
      </c>
    </row>
    <row r="11" spans="1:9" x14ac:dyDescent="0.2">
      <c r="A11" s="22"/>
      <c r="B11" s="22" t="s">
        <v>31</v>
      </c>
      <c r="C11" s="22" t="s">
        <v>32</v>
      </c>
      <c r="D11" s="22" t="s">
        <v>33</v>
      </c>
      <c r="E11" s="22" t="s">
        <v>34</v>
      </c>
      <c r="F11" s="22" t="s">
        <v>35</v>
      </c>
    </row>
    <row r="12" spans="1:9" x14ac:dyDescent="0.2">
      <c r="A12" s="20" t="s">
        <v>27</v>
      </c>
      <c r="B12" s="20">
        <v>1</v>
      </c>
      <c r="C12" s="20">
        <v>1.0102427173677586</v>
      </c>
      <c r="D12" s="20">
        <v>1.0102427173677586</v>
      </c>
      <c r="E12" s="20">
        <v>173.588870826875</v>
      </c>
      <c r="F12" s="20">
        <v>6.0661234961583844E-19</v>
      </c>
    </row>
    <row r="13" spans="1:9" x14ac:dyDescent="0.2">
      <c r="A13" s="20" t="s">
        <v>28</v>
      </c>
      <c r="B13" s="20">
        <v>57</v>
      </c>
      <c r="C13" s="20">
        <v>0.33172538432715659</v>
      </c>
      <c r="D13" s="20">
        <v>5.8197435846869573E-3</v>
      </c>
      <c r="E13" s="20"/>
      <c r="F13" s="20"/>
    </row>
    <row r="14" spans="1:9" ht="17" thickBot="1" x14ac:dyDescent="0.25">
      <c r="A14" s="21" t="s">
        <v>29</v>
      </c>
      <c r="B14" s="21">
        <v>58</v>
      </c>
      <c r="C14" s="21">
        <v>1.3419681016949152</v>
      </c>
      <c r="D14" s="21"/>
      <c r="E14" s="21"/>
      <c r="F14" s="21"/>
    </row>
    <row r="15" spans="1:9" ht="17" thickBot="1" x14ac:dyDescent="0.25"/>
    <row r="16" spans="1:9" x14ac:dyDescent="0.2">
      <c r="A16" s="22"/>
      <c r="B16" s="22" t="s">
        <v>36</v>
      </c>
      <c r="C16" s="22" t="s">
        <v>24</v>
      </c>
      <c r="D16" s="22" t="s">
        <v>37</v>
      </c>
      <c r="E16" s="22" t="s">
        <v>38</v>
      </c>
      <c r="F16" s="22" t="s">
        <v>39</v>
      </c>
      <c r="G16" s="22" t="s">
        <v>40</v>
      </c>
      <c r="H16" s="22" t="s">
        <v>41</v>
      </c>
      <c r="I16" s="22" t="s">
        <v>42</v>
      </c>
    </row>
    <row r="17" spans="1:9" x14ac:dyDescent="0.2">
      <c r="A17" s="20" t="s">
        <v>30</v>
      </c>
      <c r="B17" s="20">
        <v>1.6835890874832171E-2</v>
      </c>
      <c r="C17" s="20">
        <v>1.5480538152073377E-2</v>
      </c>
      <c r="D17" s="20">
        <v>1.087552041760077</v>
      </c>
      <c r="E17" s="20">
        <v>0.28137033141669149</v>
      </c>
      <c r="F17" s="20">
        <v>-1.4163352065931393E-2</v>
      </c>
      <c r="G17" s="20">
        <v>4.7835133815595732E-2</v>
      </c>
      <c r="H17" s="20">
        <v>-1.4163352065931393E-2</v>
      </c>
      <c r="I17" s="20">
        <v>4.7835133815595732E-2</v>
      </c>
    </row>
    <row r="18" spans="1:9" ht="86" thickBot="1" x14ac:dyDescent="0.25">
      <c r="A18" s="37" t="s">
        <v>52</v>
      </c>
      <c r="B18" s="21">
        <v>2.3353444412247397E-2</v>
      </c>
      <c r="C18" s="21">
        <v>1.7725153500904374E-3</v>
      </c>
      <c r="D18" s="21">
        <v>13.175312930889911</v>
      </c>
      <c r="E18" s="21">
        <v>6.0661234961585135E-19</v>
      </c>
      <c r="F18" s="21">
        <v>1.9804043647628191E-2</v>
      </c>
      <c r="G18" s="21">
        <v>2.6902845176866603E-2</v>
      </c>
      <c r="H18" s="21">
        <v>1.9804043647628191E-2</v>
      </c>
      <c r="I18" s="21">
        <v>2.6902845176866603E-2</v>
      </c>
    </row>
    <row r="22" spans="1:9" x14ac:dyDescent="0.2">
      <c r="A22" t="s">
        <v>44</v>
      </c>
    </row>
    <row r="23" spans="1:9" ht="17" thickBot="1" x14ac:dyDescent="0.25"/>
    <row r="24" spans="1:9" ht="102" x14ac:dyDescent="0.2">
      <c r="A24" s="22" t="s">
        <v>45</v>
      </c>
      <c r="B24" s="38" t="s">
        <v>53</v>
      </c>
      <c r="C24" s="22" t="s">
        <v>47</v>
      </c>
    </row>
    <row r="25" spans="1:9" x14ac:dyDescent="0.2">
      <c r="A25" s="20">
        <v>1</v>
      </c>
      <c r="B25" s="20">
        <v>0.10114182520304527</v>
      </c>
      <c r="C25" s="20">
        <v>-7.1418252030451823E-3</v>
      </c>
    </row>
    <row r="26" spans="1:9" x14ac:dyDescent="0.2">
      <c r="A26" s="20">
        <v>2</v>
      </c>
      <c r="B26" s="20">
        <v>0.11398621962978127</v>
      </c>
      <c r="C26" s="20">
        <v>5.0013780370218655E-2</v>
      </c>
    </row>
    <row r="27" spans="1:9" x14ac:dyDescent="0.2">
      <c r="A27" s="20">
        <v>3</v>
      </c>
      <c r="B27" s="20">
        <v>2.0572441980791674E-2</v>
      </c>
      <c r="C27" s="20">
        <v>1.1427558019208355E-2</v>
      </c>
    </row>
    <row r="28" spans="1:9" x14ac:dyDescent="0.2">
      <c r="A28" s="20">
        <v>4</v>
      </c>
      <c r="B28" s="20">
        <v>5.7937953040387707E-2</v>
      </c>
      <c r="C28" s="20">
        <v>-5.2937953040387814E-2</v>
      </c>
    </row>
    <row r="29" spans="1:9" x14ac:dyDescent="0.2">
      <c r="A29" s="20">
        <v>5</v>
      </c>
      <c r="B29" s="20">
        <v>0.16746560733382795</v>
      </c>
      <c r="C29" s="20">
        <v>-0.12146560733382814</v>
      </c>
    </row>
    <row r="30" spans="1:9" x14ac:dyDescent="0.2">
      <c r="A30" s="20">
        <v>6</v>
      </c>
      <c r="B30" s="20">
        <v>0.19735801618150464</v>
      </c>
      <c r="C30" s="20">
        <v>-8.9358016181504546E-2</v>
      </c>
    </row>
    <row r="31" spans="1:9" x14ac:dyDescent="0.2">
      <c r="A31" s="20">
        <v>7</v>
      </c>
      <c r="B31" s="20">
        <v>0.11538742629451616</v>
      </c>
      <c r="C31" s="20">
        <v>-5.2387426294515996E-2</v>
      </c>
    </row>
    <row r="32" spans="1:9" x14ac:dyDescent="0.2">
      <c r="A32" s="20">
        <v>8</v>
      </c>
      <c r="B32" s="20">
        <v>0.19572327507264714</v>
      </c>
      <c r="C32" s="20">
        <v>-4.2723275072647116E-2</v>
      </c>
    </row>
    <row r="33" spans="1:3" x14ac:dyDescent="0.2">
      <c r="A33" s="20">
        <v>9</v>
      </c>
      <c r="B33" s="20">
        <v>0.30922101491616949</v>
      </c>
      <c r="C33" s="20">
        <v>-5.2210149161692199E-3</v>
      </c>
    </row>
    <row r="34" spans="1:3" x14ac:dyDescent="0.2">
      <c r="A34" s="20">
        <v>10</v>
      </c>
      <c r="B34" s="20">
        <v>0.14668104180692776</v>
      </c>
      <c r="C34" s="20">
        <v>-0.12268104180692774</v>
      </c>
    </row>
    <row r="35" spans="1:3" x14ac:dyDescent="0.2">
      <c r="A35" s="20">
        <v>11</v>
      </c>
      <c r="B35" s="20">
        <v>0.18848370730485073</v>
      </c>
      <c r="C35" s="20">
        <v>-8.3483707304850746E-2</v>
      </c>
    </row>
    <row r="36" spans="1:3" x14ac:dyDescent="0.2">
      <c r="A36" s="20">
        <v>12</v>
      </c>
      <c r="B36" s="20">
        <v>0.11678863295925106</v>
      </c>
      <c r="C36" s="20">
        <v>-1.5788632959251078E-2</v>
      </c>
    </row>
    <row r="37" spans="1:3" x14ac:dyDescent="0.2">
      <c r="A37" s="20">
        <v>13</v>
      </c>
      <c r="B37" s="20">
        <v>0.25293921388265334</v>
      </c>
      <c r="C37" s="20">
        <v>9.0060786117346636E-2</v>
      </c>
    </row>
    <row r="38" spans="1:3" x14ac:dyDescent="0.2">
      <c r="A38" s="20">
        <v>14</v>
      </c>
      <c r="B38" s="20">
        <v>2.2440717533771425E-2</v>
      </c>
      <c r="C38" s="20">
        <v>0.12355928246622848</v>
      </c>
    </row>
    <row r="39" spans="1:3" x14ac:dyDescent="0.2">
      <c r="A39" s="20">
        <v>15</v>
      </c>
      <c r="B39" s="20">
        <v>0.30081377492776046</v>
      </c>
      <c r="C39" s="20">
        <v>-3.281377492776022E-2</v>
      </c>
    </row>
    <row r="40" spans="1:3" x14ac:dyDescent="0.2">
      <c r="A40" s="20">
        <v>16</v>
      </c>
      <c r="B40" s="20">
        <v>0.33561040710200896</v>
      </c>
      <c r="C40" s="20">
        <v>7.1389592897991072E-2</v>
      </c>
    </row>
    <row r="41" spans="1:3" x14ac:dyDescent="0.2">
      <c r="A41" s="20">
        <v>17</v>
      </c>
      <c r="B41" s="20">
        <v>0.31132282491327218</v>
      </c>
      <c r="C41" s="20">
        <v>-2.7322824913272814E-2</v>
      </c>
    </row>
    <row r="42" spans="1:3" x14ac:dyDescent="0.2">
      <c r="A42" s="20">
        <v>18</v>
      </c>
      <c r="B42" s="20">
        <v>0.38558677814421871</v>
      </c>
      <c r="C42" s="20">
        <v>8.0413221855781036E-2</v>
      </c>
    </row>
    <row r="43" spans="1:3" x14ac:dyDescent="0.2">
      <c r="A43" s="20">
        <v>19</v>
      </c>
      <c r="B43" s="20">
        <v>0.21814258170840484</v>
      </c>
      <c r="C43" s="20">
        <v>3.985741829159517E-2</v>
      </c>
    </row>
    <row r="44" spans="1:3" x14ac:dyDescent="0.2">
      <c r="A44" s="20">
        <v>20</v>
      </c>
      <c r="B44" s="20">
        <v>0.3636345403967059</v>
      </c>
      <c r="C44" s="20">
        <v>-8.9634540396705875E-2</v>
      </c>
    </row>
    <row r="45" spans="1:3" x14ac:dyDescent="0.2">
      <c r="A45" s="20">
        <v>21</v>
      </c>
      <c r="B45" s="20">
        <v>0.77815817871409754</v>
      </c>
      <c r="C45" s="20">
        <v>0.1498418212859024</v>
      </c>
    </row>
    <row r="46" spans="1:3" x14ac:dyDescent="0.2">
      <c r="A46" s="20">
        <v>22</v>
      </c>
      <c r="B46" s="20">
        <v>0.31786178934870096</v>
      </c>
      <c r="C46" s="20">
        <v>1.613821065129889E-2</v>
      </c>
    </row>
    <row r="47" spans="1:3" x14ac:dyDescent="0.2">
      <c r="A47" s="20">
        <v>23</v>
      </c>
      <c r="B47" s="20">
        <v>0.26461593608877704</v>
      </c>
      <c r="C47" s="20">
        <v>0.17538406391122291</v>
      </c>
    </row>
    <row r="48" spans="1:3" x14ac:dyDescent="0.2">
      <c r="A48" s="20">
        <v>24</v>
      </c>
      <c r="B48" s="20">
        <v>8.3860276337982306E-2</v>
      </c>
      <c r="C48" s="20">
        <v>1.2139723662017557E-2</v>
      </c>
    </row>
    <row r="49" spans="1:3" x14ac:dyDescent="0.2">
      <c r="A49" s="20">
        <v>25</v>
      </c>
      <c r="B49" s="20">
        <v>7.3351226352470905E-2</v>
      </c>
      <c r="C49" s="20">
        <v>7.7648773647529118E-2</v>
      </c>
    </row>
    <row r="50" spans="1:3" x14ac:dyDescent="0.2">
      <c r="A50" s="20">
        <v>26</v>
      </c>
      <c r="B50" s="20">
        <v>0.14504630069807042</v>
      </c>
      <c r="C50" s="20">
        <v>-6.9046300698070356E-2</v>
      </c>
    </row>
    <row r="51" spans="1:3" x14ac:dyDescent="0.2">
      <c r="A51" s="20">
        <v>27</v>
      </c>
      <c r="B51" s="20">
        <v>3.3416836407527843E-2</v>
      </c>
      <c r="C51" s="20">
        <v>1.3583163592472088E-2</v>
      </c>
    </row>
    <row r="52" spans="1:3" x14ac:dyDescent="0.2">
      <c r="A52" s="20">
        <v>28</v>
      </c>
      <c r="B52" s="20">
        <v>0.38955686369430065</v>
      </c>
      <c r="C52" s="20">
        <v>-1.1556863694300756E-2</v>
      </c>
    </row>
    <row r="53" spans="1:3" x14ac:dyDescent="0.2">
      <c r="A53" s="20">
        <v>29</v>
      </c>
      <c r="B53" s="20">
        <v>9.8806480761820317E-2</v>
      </c>
      <c r="C53" s="20">
        <v>1.7193519238179786E-2</v>
      </c>
    </row>
    <row r="54" spans="1:3" x14ac:dyDescent="0.2">
      <c r="A54" s="20">
        <v>30</v>
      </c>
      <c r="B54" s="20">
        <v>2.9913819745690434E-2</v>
      </c>
      <c r="C54" s="20">
        <v>1.3086180254309493E-2</v>
      </c>
    </row>
    <row r="55" spans="1:3" x14ac:dyDescent="0.2">
      <c r="A55" s="20">
        <v>31</v>
      </c>
      <c r="B55" s="20">
        <v>3.3416836407527677E-2</v>
      </c>
      <c r="C55" s="20">
        <v>1.6583163592472368E-2</v>
      </c>
    </row>
    <row r="56" spans="1:3" x14ac:dyDescent="0.2">
      <c r="A56" s="20">
        <v>32</v>
      </c>
      <c r="B56" s="20">
        <v>2.8279078636833276E-2</v>
      </c>
      <c r="C56" s="20">
        <v>-1.5279078636833154E-2</v>
      </c>
    </row>
    <row r="57" spans="1:3" x14ac:dyDescent="0.2">
      <c r="A57" s="20">
        <v>33</v>
      </c>
      <c r="B57" s="20">
        <v>0.17050155510742032</v>
      </c>
      <c r="C57" s="20">
        <v>1.1498444892579618E-2</v>
      </c>
    </row>
    <row r="58" spans="1:3" x14ac:dyDescent="0.2">
      <c r="A58" s="20">
        <v>34</v>
      </c>
      <c r="B58" s="20">
        <v>2.0338907536669081E-2</v>
      </c>
      <c r="C58" s="20">
        <v>7.6610924633309443E-3</v>
      </c>
    </row>
    <row r="59" spans="1:3" x14ac:dyDescent="0.2">
      <c r="A59" s="20">
        <v>35</v>
      </c>
      <c r="B59" s="20">
        <v>6.8213468581776515E-2</v>
      </c>
      <c r="C59" s="20">
        <v>1.5786531418223559E-2</v>
      </c>
    </row>
    <row r="60" spans="1:3" x14ac:dyDescent="0.2">
      <c r="A60" s="20">
        <v>36</v>
      </c>
      <c r="B60" s="20">
        <v>0.16956741733093028</v>
      </c>
      <c r="C60" s="20">
        <v>8.4325826690698769E-3</v>
      </c>
    </row>
    <row r="61" spans="1:3" x14ac:dyDescent="0.2">
      <c r="A61" s="20">
        <v>37</v>
      </c>
      <c r="B61" s="20">
        <v>0.17727405398697191</v>
      </c>
      <c r="C61" s="20">
        <v>-3.2274053986971668E-2</v>
      </c>
    </row>
    <row r="62" spans="1:3" x14ac:dyDescent="0.2">
      <c r="A62" s="20">
        <v>38</v>
      </c>
      <c r="B62" s="20">
        <v>0.10394423853251505</v>
      </c>
      <c r="C62" s="20">
        <v>2.9055761467484953E-2</v>
      </c>
    </row>
    <row r="63" spans="1:3" x14ac:dyDescent="0.2">
      <c r="A63" s="20">
        <v>39</v>
      </c>
      <c r="B63" s="20">
        <v>7.8021915234920122E-2</v>
      </c>
      <c r="C63" s="20">
        <v>5.7978084765079554E-2</v>
      </c>
    </row>
    <row r="64" spans="1:3" x14ac:dyDescent="0.2">
      <c r="A64" s="20">
        <v>40</v>
      </c>
      <c r="B64" s="20">
        <v>0.2987119649306581</v>
      </c>
      <c r="C64" s="20">
        <v>-1.3711964930658405E-2</v>
      </c>
    </row>
    <row r="65" spans="1:3" x14ac:dyDescent="0.2">
      <c r="A65" s="20">
        <v>41</v>
      </c>
      <c r="B65" s="20">
        <v>5.3967867490305611E-2</v>
      </c>
      <c r="C65" s="20">
        <v>-7.9678674903055705E-3</v>
      </c>
    </row>
    <row r="66" spans="1:3" x14ac:dyDescent="0.2">
      <c r="A66" s="20">
        <v>42</v>
      </c>
      <c r="B66" s="20">
        <v>9.2968119658758466E-2</v>
      </c>
      <c r="C66" s="20">
        <v>7.0318803412414005E-3</v>
      </c>
    </row>
    <row r="67" spans="1:3" x14ac:dyDescent="0.2">
      <c r="A67" s="20">
        <v>43</v>
      </c>
      <c r="B67" s="20">
        <v>0.17844172620758386</v>
      </c>
      <c r="C67" s="20">
        <v>-9.5441726207583677E-2</v>
      </c>
    </row>
    <row r="68" spans="1:3" x14ac:dyDescent="0.2">
      <c r="A68" s="20">
        <v>44</v>
      </c>
      <c r="B68" s="20">
        <v>0.2041305150610562</v>
      </c>
      <c r="C68" s="20">
        <v>2.4869484938943892E-2</v>
      </c>
    </row>
    <row r="69" spans="1:3" x14ac:dyDescent="0.2">
      <c r="A69" s="20">
        <v>45</v>
      </c>
      <c r="B69" s="20">
        <v>5.1866057493203263E-2</v>
      </c>
      <c r="C69" s="20">
        <v>-3.7866057493203029E-2</v>
      </c>
    </row>
    <row r="70" spans="1:3" x14ac:dyDescent="0.2">
      <c r="A70" s="20">
        <v>46</v>
      </c>
      <c r="B70" s="20">
        <v>7.9189587455532756E-2</v>
      </c>
      <c r="C70" s="20">
        <v>-4.1189587455532944E-2</v>
      </c>
    </row>
    <row r="71" spans="1:3" x14ac:dyDescent="0.2">
      <c r="A71" s="20">
        <v>47</v>
      </c>
      <c r="B71" s="20">
        <v>0.18638189730774807</v>
      </c>
      <c r="C71" s="20">
        <v>5.0618102692252032E-2</v>
      </c>
    </row>
    <row r="72" spans="1:3" x14ac:dyDescent="0.2">
      <c r="A72" s="20">
        <v>48</v>
      </c>
      <c r="B72" s="20">
        <v>2.5943734195608668E-2</v>
      </c>
      <c r="C72" s="20">
        <v>0.1880562658043913</v>
      </c>
    </row>
    <row r="73" spans="1:3" x14ac:dyDescent="0.2">
      <c r="A73" s="20">
        <v>49</v>
      </c>
      <c r="B73" s="20">
        <v>0.15952543623366375</v>
      </c>
      <c r="C73" s="20">
        <v>9.647456376633648E-2</v>
      </c>
    </row>
    <row r="74" spans="1:3" x14ac:dyDescent="0.2">
      <c r="A74" s="20">
        <v>50</v>
      </c>
      <c r="B74" s="20">
        <v>0.22911870058216108</v>
      </c>
      <c r="C74" s="20">
        <v>-6.6118700582161266E-2</v>
      </c>
    </row>
    <row r="75" spans="1:3" x14ac:dyDescent="0.2">
      <c r="A75" s="20">
        <v>51</v>
      </c>
      <c r="B75" s="20">
        <v>0.18498069064301351</v>
      </c>
      <c r="C75" s="20">
        <v>2.2019309356986344E-2</v>
      </c>
    </row>
    <row r="76" spans="1:3" x14ac:dyDescent="0.2">
      <c r="A76" s="20">
        <v>52</v>
      </c>
      <c r="B76" s="20">
        <v>0.26648421164175679</v>
      </c>
      <c r="C76" s="20">
        <v>-3.2484211641756799E-2</v>
      </c>
    </row>
    <row r="77" spans="1:3" x14ac:dyDescent="0.2">
      <c r="A77" s="20">
        <v>53</v>
      </c>
      <c r="B77" s="20">
        <v>0.18965137952546304</v>
      </c>
      <c r="C77" s="20">
        <v>-5.1651379525463142E-2</v>
      </c>
    </row>
    <row r="78" spans="1:3" x14ac:dyDescent="0.2">
      <c r="A78" s="20">
        <v>54</v>
      </c>
      <c r="B78" s="20">
        <v>2.5710199751486407E-2</v>
      </c>
      <c r="C78" s="20">
        <v>0.13928980024851362</v>
      </c>
    </row>
    <row r="79" spans="1:3" x14ac:dyDescent="0.2">
      <c r="A79" s="20">
        <v>55</v>
      </c>
      <c r="B79" s="20">
        <v>0.17727405398697191</v>
      </c>
      <c r="C79" s="20">
        <v>-0.12927405398697187</v>
      </c>
    </row>
    <row r="80" spans="1:3" x14ac:dyDescent="0.2">
      <c r="A80" s="20">
        <v>56</v>
      </c>
      <c r="B80" s="20">
        <v>0.24756792166783634</v>
      </c>
      <c r="C80" s="20">
        <v>2.143207833216379E-2</v>
      </c>
    </row>
    <row r="81" spans="1:3" x14ac:dyDescent="0.2">
      <c r="A81" s="20">
        <v>57</v>
      </c>
      <c r="B81" s="20">
        <v>0.34985600819347984</v>
      </c>
      <c r="C81" s="20">
        <v>-0.16585600819347968</v>
      </c>
    </row>
    <row r="82" spans="1:3" x14ac:dyDescent="0.2">
      <c r="A82" s="20">
        <v>58</v>
      </c>
      <c r="B82" s="20">
        <v>0.18428008731064605</v>
      </c>
      <c r="C82" s="20">
        <v>-0.15728008731064591</v>
      </c>
    </row>
    <row r="83" spans="1:3" ht="17" thickBot="1" x14ac:dyDescent="0.25">
      <c r="A83" s="21">
        <v>59</v>
      </c>
      <c r="B83" s="21">
        <v>5.2566660825570717E-2</v>
      </c>
      <c r="C83" s="21">
        <v>3.1433339174429357E-2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076C75-8954-5A44-B859-32193F4D8A4C}">
  <dimension ref="A1:I83"/>
  <sheetViews>
    <sheetView tabSelected="1" zoomScale="125" workbookViewId="0">
      <selection activeCell="J21" sqref="J21"/>
    </sheetView>
  </sheetViews>
  <sheetFormatPr baseColWidth="10" defaultRowHeight="16" x14ac:dyDescent="0.2"/>
  <cols>
    <col min="1" max="1" width="16.33203125" bestFit="1" customWidth="1"/>
  </cols>
  <sheetData>
    <row r="1" spans="1:9" x14ac:dyDescent="0.2">
      <c r="A1" t="s">
        <v>19</v>
      </c>
    </row>
    <row r="2" spans="1:9" ht="17" thickBot="1" x14ac:dyDescent="0.25"/>
    <row r="3" spans="1:9" x14ac:dyDescent="0.2">
      <c r="A3" s="30" t="s">
        <v>20</v>
      </c>
      <c r="B3" s="30"/>
    </row>
    <row r="4" spans="1:9" x14ac:dyDescent="0.2">
      <c r="A4" s="20" t="s">
        <v>21</v>
      </c>
      <c r="B4" s="20">
        <v>0.92457751991151138</v>
      </c>
    </row>
    <row r="5" spans="1:9" x14ac:dyDescent="0.2">
      <c r="A5" s="23" t="s">
        <v>22</v>
      </c>
      <c r="B5" s="23">
        <v>0.85484359032572121</v>
      </c>
    </row>
    <row r="6" spans="1:9" x14ac:dyDescent="0.2">
      <c r="A6" s="20" t="s">
        <v>23</v>
      </c>
      <c r="B6" s="20">
        <v>0.85229698664722509</v>
      </c>
    </row>
    <row r="7" spans="1:9" x14ac:dyDescent="0.2">
      <c r="A7" s="20" t="s">
        <v>24</v>
      </c>
      <c r="B7" s="20">
        <v>8.8720874448182371E-2</v>
      </c>
    </row>
    <row r="8" spans="1:9" ht="17" thickBot="1" x14ac:dyDescent="0.25">
      <c r="A8" s="21" t="s">
        <v>25</v>
      </c>
      <c r="B8" s="21">
        <v>59</v>
      </c>
    </row>
    <row r="10" spans="1:9" ht="17" thickBot="1" x14ac:dyDescent="0.25">
      <c r="A10" t="s">
        <v>26</v>
      </c>
    </row>
    <row r="11" spans="1:9" x14ac:dyDescent="0.2">
      <c r="A11" s="22"/>
      <c r="B11" s="22" t="s">
        <v>31</v>
      </c>
      <c r="C11" s="22" t="s">
        <v>32</v>
      </c>
      <c r="D11" s="22" t="s">
        <v>33</v>
      </c>
      <c r="E11" s="22" t="s">
        <v>34</v>
      </c>
      <c r="F11" s="22" t="s">
        <v>35</v>
      </c>
    </row>
    <row r="12" spans="1:9" x14ac:dyDescent="0.2">
      <c r="A12" s="20" t="s">
        <v>27</v>
      </c>
      <c r="B12" s="20">
        <v>1</v>
      </c>
      <c r="C12" s="20">
        <v>2.6422683635277107</v>
      </c>
      <c r="D12" s="20">
        <v>2.6422683635277107</v>
      </c>
      <c r="E12" s="20">
        <v>335.67986944499518</v>
      </c>
      <c r="F12" s="20">
        <v>1.4697565869855539E-25</v>
      </c>
    </row>
    <row r="13" spans="1:9" x14ac:dyDescent="0.2">
      <c r="A13" s="20" t="s">
        <v>28</v>
      </c>
      <c r="B13" s="20">
        <v>57</v>
      </c>
      <c r="C13" s="20">
        <v>0.44866943308245799</v>
      </c>
      <c r="D13" s="20">
        <v>7.8713935628501406E-3</v>
      </c>
      <c r="E13" s="20"/>
      <c r="F13" s="20"/>
    </row>
    <row r="14" spans="1:9" ht="17" thickBot="1" x14ac:dyDescent="0.25">
      <c r="A14" s="21" t="s">
        <v>29</v>
      </c>
      <c r="B14" s="21">
        <v>58</v>
      </c>
      <c r="C14" s="21">
        <v>3.0909377966101688</v>
      </c>
      <c r="D14" s="21"/>
      <c r="E14" s="21"/>
      <c r="F14" s="21"/>
    </row>
    <row r="15" spans="1:9" ht="17" thickBot="1" x14ac:dyDescent="0.25"/>
    <row r="16" spans="1:9" x14ac:dyDescent="0.2">
      <c r="A16" s="22"/>
      <c r="B16" s="22" t="s">
        <v>36</v>
      </c>
      <c r="C16" s="22" t="s">
        <v>24</v>
      </c>
      <c r="D16" s="22" t="s">
        <v>37</v>
      </c>
      <c r="E16" s="22" t="s">
        <v>38</v>
      </c>
      <c r="F16" s="22" t="s">
        <v>39</v>
      </c>
      <c r="G16" s="22" t="s">
        <v>40</v>
      </c>
      <c r="H16" s="22" t="s">
        <v>41</v>
      </c>
      <c r="I16" s="22" t="s">
        <v>42</v>
      </c>
    </row>
    <row r="17" spans="1:9" x14ac:dyDescent="0.2">
      <c r="A17" s="20" t="s">
        <v>30</v>
      </c>
      <c r="B17" s="20">
        <v>2.8762224425503274E-3</v>
      </c>
      <c r="C17" s="20">
        <v>1.1586601893033772E-2</v>
      </c>
      <c r="D17" s="20">
        <v>0.24823692650384427</v>
      </c>
      <c r="E17" s="20">
        <v>0.80484325639016596</v>
      </c>
      <c r="F17" s="20">
        <v>-2.0325547638805591E-2</v>
      </c>
      <c r="G17" s="20">
        <v>2.6077992523906246E-2</v>
      </c>
      <c r="H17" s="20">
        <v>-2.0325547638805591E-2</v>
      </c>
      <c r="I17" s="20">
        <v>2.6077992523906246E-2</v>
      </c>
    </row>
    <row r="18" spans="1:9" ht="17" thickBot="1" x14ac:dyDescent="0.25">
      <c r="A18" s="21" t="s">
        <v>43</v>
      </c>
      <c r="B18" s="21">
        <v>2.4306514409481818E-2</v>
      </c>
      <c r="C18" s="21">
        <v>1.3266612251485979E-3</v>
      </c>
      <c r="D18" s="21">
        <v>18.321568422080979</v>
      </c>
      <c r="E18" s="24">
        <v>1.4697565869855856E-25</v>
      </c>
      <c r="F18" s="21">
        <v>2.164992112994106E-2</v>
      </c>
      <c r="G18" s="21">
        <v>2.6963107689022575E-2</v>
      </c>
      <c r="H18" s="21">
        <v>2.164992112994106E-2</v>
      </c>
      <c r="I18" s="21">
        <v>2.6963107689022575E-2</v>
      </c>
    </row>
    <row r="22" spans="1:9" x14ac:dyDescent="0.2">
      <c r="A22" t="s">
        <v>44</v>
      </c>
    </row>
    <row r="23" spans="1:9" ht="17" thickBot="1" x14ac:dyDescent="0.25"/>
    <row r="24" spans="1:9" x14ac:dyDescent="0.2">
      <c r="A24" s="22" t="s">
        <v>45</v>
      </c>
      <c r="B24" s="22" t="s">
        <v>46</v>
      </c>
      <c r="C24" s="22" t="s">
        <v>47</v>
      </c>
    </row>
    <row r="25" spans="1:9" x14ac:dyDescent="0.2">
      <c r="A25" s="20">
        <v>1</v>
      </c>
      <c r="B25" s="20">
        <v>9.0622739460779672E-2</v>
      </c>
      <c r="C25" s="20">
        <v>3.3772605392204114E-3</v>
      </c>
    </row>
    <row r="26" spans="1:9" x14ac:dyDescent="0.2">
      <c r="A26" s="20">
        <v>2</v>
      </c>
      <c r="B26" s="20">
        <v>0.10399132238599461</v>
      </c>
      <c r="C26" s="20">
        <v>6.0008677614005315E-2</v>
      </c>
    </row>
    <row r="27" spans="1:9" x14ac:dyDescent="0.2">
      <c r="A27" s="20">
        <v>3</v>
      </c>
      <c r="B27" s="20">
        <v>-1.0128198629666804E-3</v>
      </c>
      <c r="C27" s="20">
        <v>3.3012819862966711E-2</v>
      </c>
    </row>
    <row r="28" spans="1:9" x14ac:dyDescent="0.2">
      <c r="A28" s="20">
        <v>4</v>
      </c>
      <c r="B28" s="20">
        <v>-3.9903242918137793E-2</v>
      </c>
      <c r="C28" s="20">
        <v>3.49032429181379E-2</v>
      </c>
    </row>
    <row r="29" spans="1:9" x14ac:dyDescent="0.2">
      <c r="A29" s="20">
        <v>5</v>
      </c>
      <c r="B29" s="20">
        <v>0.15965324038370812</v>
      </c>
      <c r="C29" s="20">
        <v>-0.1136532403837083</v>
      </c>
    </row>
    <row r="30" spans="1:9" x14ac:dyDescent="0.2">
      <c r="A30" s="20">
        <v>6</v>
      </c>
      <c r="B30" s="20">
        <v>0.19076557882784487</v>
      </c>
      <c r="C30" s="20">
        <v>-8.2765578827844771E-2</v>
      </c>
    </row>
    <row r="31" spans="1:9" x14ac:dyDescent="0.2">
      <c r="A31" s="20">
        <v>7</v>
      </c>
      <c r="B31" s="20">
        <v>-9.9697268365462915E-2</v>
      </c>
      <c r="C31" s="20">
        <v>3.6697268365462749E-2</v>
      </c>
    </row>
    <row r="32" spans="1:9" x14ac:dyDescent="0.2">
      <c r="A32" s="20">
        <v>8</v>
      </c>
      <c r="B32" s="20">
        <v>0.18906412281918097</v>
      </c>
      <c r="C32" s="20">
        <v>-3.6064122819180949E-2</v>
      </c>
    </row>
    <row r="33" spans="1:3" x14ac:dyDescent="0.2">
      <c r="A33" s="20">
        <v>9</v>
      </c>
      <c r="B33" s="20">
        <v>0.30719378284926258</v>
      </c>
      <c r="C33" s="20">
        <v>-3.1937828492623055E-3</v>
      </c>
    </row>
    <row r="34" spans="1:3" x14ac:dyDescent="0.2">
      <c r="A34" s="20">
        <v>10</v>
      </c>
      <c r="B34" s="20">
        <v>-0.13226799767416864</v>
      </c>
      <c r="C34" s="20">
        <v>0.10826799767416861</v>
      </c>
    </row>
    <row r="35" spans="1:3" x14ac:dyDescent="0.2">
      <c r="A35" s="20">
        <v>11</v>
      </c>
      <c r="B35" s="20">
        <v>0.1815291033522419</v>
      </c>
      <c r="C35" s="20">
        <v>-7.6529103352241917E-2</v>
      </c>
    </row>
    <row r="36" spans="1:3" x14ac:dyDescent="0.2">
      <c r="A36" s="20">
        <v>12</v>
      </c>
      <c r="B36" s="20">
        <v>-0.10115565923003188</v>
      </c>
      <c r="C36" s="20">
        <v>1.5565923003189874E-4</v>
      </c>
    </row>
    <row r="37" spans="1:3" x14ac:dyDescent="0.2">
      <c r="A37" s="20">
        <v>13</v>
      </c>
      <c r="B37" s="20">
        <v>0.24861508312241148</v>
      </c>
      <c r="C37" s="20">
        <v>9.4384916877588487E-2</v>
      </c>
    </row>
    <row r="38" spans="1:3" x14ac:dyDescent="0.2">
      <c r="A38" s="20">
        <v>14</v>
      </c>
      <c r="B38" s="20">
        <v>-2.9573410157251847E-3</v>
      </c>
      <c r="C38" s="20">
        <v>0.14895734101572508</v>
      </c>
    </row>
    <row r="39" spans="1:3" x14ac:dyDescent="0.2">
      <c r="A39" s="20">
        <v>15</v>
      </c>
      <c r="B39" s="20">
        <v>0.29844343766184916</v>
      </c>
      <c r="C39" s="20">
        <v>-3.0443437661848927E-2</v>
      </c>
    </row>
    <row r="40" spans="1:3" x14ac:dyDescent="0.2">
      <c r="A40" s="20">
        <v>16</v>
      </c>
      <c r="B40" s="20">
        <v>0.33466014413197692</v>
      </c>
      <c r="C40" s="20">
        <v>7.2339855868023106E-2</v>
      </c>
    </row>
    <row r="41" spans="1:3" x14ac:dyDescent="0.2">
      <c r="A41" s="20">
        <v>17</v>
      </c>
      <c r="B41" s="20">
        <v>0.30938136914611636</v>
      </c>
      <c r="C41" s="20">
        <v>-2.5381369146116994E-2</v>
      </c>
    </row>
    <row r="42" spans="1:3" x14ac:dyDescent="0.2">
      <c r="A42" s="20">
        <v>18</v>
      </c>
      <c r="B42" s="20">
        <v>-0.3809236400831677</v>
      </c>
      <c r="C42" s="20">
        <v>-8.5076359916832045E-2</v>
      </c>
    </row>
    <row r="43" spans="1:3" x14ac:dyDescent="0.2">
      <c r="A43" s="20">
        <v>19</v>
      </c>
      <c r="B43" s="20">
        <v>-0.20664593176718304</v>
      </c>
      <c r="C43" s="20">
        <v>-5.1354068232816963E-2</v>
      </c>
    </row>
    <row r="44" spans="1:3" x14ac:dyDescent="0.2">
      <c r="A44" s="20">
        <v>20</v>
      </c>
      <c r="B44" s="20">
        <v>-0.35807551653825453</v>
      </c>
      <c r="C44" s="20">
        <v>8.4075516538254513E-2</v>
      </c>
    </row>
    <row r="45" spans="1:3" x14ac:dyDescent="0.2">
      <c r="A45" s="20">
        <v>21</v>
      </c>
      <c r="B45" s="20">
        <v>-0.78951614730655717</v>
      </c>
      <c r="C45" s="20">
        <v>-0.13848385269344277</v>
      </c>
    </row>
    <row r="46" spans="1:3" x14ac:dyDescent="0.2">
      <c r="A46" s="20">
        <v>22</v>
      </c>
      <c r="B46" s="20">
        <v>-0.31043474829567014</v>
      </c>
      <c r="C46" s="20">
        <v>-2.3565251704329715E-2</v>
      </c>
    </row>
    <row r="47" spans="1:3" x14ac:dyDescent="0.2">
      <c r="A47" s="20">
        <v>23</v>
      </c>
      <c r="B47" s="20">
        <v>-0.25501589544205172</v>
      </c>
      <c r="C47" s="20">
        <v>-0.18498410455794823</v>
      </c>
    </row>
    <row r="48" spans="1:3" x14ac:dyDescent="0.2">
      <c r="A48" s="20">
        <v>24</v>
      </c>
      <c r="B48" s="20">
        <v>-6.6883473912662597E-2</v>
      </c>
      <c r="C48" s="20">
        <v>0.16288347391266245</v>
      </c>
    </row>
    <row r="49" spans="1:3" x14ac:dyDescent="0.2">
      <c r="A49" s="20">
        <v>25</v>
      </c>
      <c r="B49" s="20">
        <v>6.169798731349637E-2</v>
      </c>
      <c r="C49" s="20">
        <v>-0.2126979873134964</v>
      </c>
    </row>
    <row r="50" spans="1:3" x14ac:dyDescent="0.2">
      <c r="A50" s="20">
        <v>26</v>
      </c>
      <c r="B50" s="20">
        <v>0.13631898655060556</v>
      </c>
      <c r="C50" s="20">
        <v>-6.0318986550605497E-2</v>
      </c>
    </row>
    <row r="51" spans="1:3" x14ac:dyDescent="0.2">
      <c r="A51" s="20">
        <v>27</v>
      </c>
      <c r="B51" s="20">
        <v>2.013384767328244E-2</v>
      </c>
      <c r="C51" s="20">
        <v>-6.7133847673282371E-2</v>
      </c>
    </row>
    <row r="52" spans="1:3" x14ac:dyDescent="0.2">
      <c r="A52" s="20">
        <v>28</v>
      </c>
      <c r="B52" s="20">
        <v>0.39080819241788017</v>
      </c>
      <c r="C52" s="20">
        <v>-1.2808192417880282E-2</v>
      </c>
    </row>
    <row r="53" spans="1:3" x14ac:dyDescent="0.2">
      <c r="A53" s="20">
        <v>29</v>
      </c>
      <c r="B53" s="20">
        <v>8.8192088019831291E-2</v>
      </c>
      <c r="C53" s="20">
        <v>2.7807911980168812E-2</v>
      </c>
    </row>
    <row r="54" spans="1:3" x14ac:dyDescent="0.2">
      <c r="A54" s="20">
        <v>30</v>
      </c>
      <c r="B54" s="20">
        <v>-1.07354256267592E-2</v>
      </c>
      <c r="C54" s="20">
        <v>5.3735425626759127E-2</v>
      </c>
    </row>
    <row r="55" spans="1:3" x14ac:dyDescent="0.2">
      <c r="A55" s="20">
        <v>31</v>
      </c>
      <c r="B55" s="20">
        <v>2.0133847673282267E-2</v>
      </c>
      <c r="C55" s="20">
        <v>-7.0133847673282318E-2</v>
      </c>
    </row>
    <row r="56" spans="1:3" x14ac:dyDescent="0.2">
      <c r="A56" s="20">
        <v>32</v>
      </c>
      <c r="B56" s="20">
        <v>1.4786414503196293E-2</v>
      </c>
      <c r="C56" s="20">
        <v>-1.7864145031961706E-3</v>
      </c>
    </row>
    <row r="57" spans="1:3" x14ac:dyDescent="0.2">
      <c r="A57" s="20">
        <v>33</v>
      </c>
      <c r="B57" s="20">
        <v>0.16281308725694099</v>
      </c>
      <c r="C57" s="20">
        <v>1.9186912743058948E-2</v>
      </c>
    </row>
    <row r="58" spans="1:3" x14ac:dyDescent="0.2">
      <c r="A58" s="20">
        <v>34</v>
      </c>
      <c r="B58" s="20">
        <v>6.5221996039723932E-3</v>
      </c>
      <c r="C58" s="20">
        <v>2.1477800396027633E-2</v>
      </c>
    </row>
    <row r="59" spans="1:3" x14ac:dyDescent="0.2">
      <c r="A59" s="20">
        <v>35</v>
      </c>
      <c r="B59" s="20">
        <v>5.6350554143410399E-2</v>
      </c>
      <c r="C59" s="20">
        <v>2.7649445856589676E-2</v>
      </c>
    </row>
    <row r="60" spans="1:3" x14ac:dyDescent="0.2">
      <c r="A60" s="20">
        <v>36</v>
      </c>
      <c r="B60" s="20">
        <v>-0.15608838179546092</v>
      </c>
      <c r="C60" s="20">
        <v>-2.191161820453924E-2</v>
      </c>
    </row>
    <row r="61" spans="1:3" x14ac:dyDescent="0.2">
      <c r="A61" s="20">
        <v>37</v>
      </c>
      <c r="B61" s="20">
        <v>0.16986197643569054</v>
      </c>
      <c r="C61" s="20">
        <v>-2.4861976435690297E-2</v>
      </c>
    </row>
    <row r="62" spans="1:3" x14ac:dyDescent="0.2">
      <c r="A62" s="20">
        <v>38</v>
      </c>
      <c r="B62" s="20">
        <v>9.353952118991761E-2</v>
      </c>
      <c r="C62" s="20">
        <v>3.9460478810082397E-2</v>
      </c>
    </row>
    <row r="63" spans="1:3" x14ac:dyDescent="0.2">
      <c r="A63" s="20">
        <v>39</v>
      </c>
      <c r="B63" s="20">
        <v>6.6559290195392459E-2</v>
      </c>
      <c r="C63" s="20">
        <v>6.9440709804607217E-2</v>
      </c>
    </row>
    <row r="64" spans="1:3" x14ac:dyDescent="0.2">
      <c r="A64" s="20">
        <v>40</v>
      </c>
      <c r="B64" s="20">
        <v>-0.29050340647989503</v>
      </c>
      <c r="C64" s="20">
        <v>5.5034064798953342E-3</v>
      </c>
    </row>
    <row r="65" spans="1:3" x14ac:dyDescent="0.2">
      <c r="A65" s="20">
        <v>41</v>
      </c>
      <c r="B65" s="20">
        <v>4.1523580353626501E-2</v>
      </c>
      <c r="C65" s="20">
        <v>-8.7523580353626534E-2</v>
      </c>
    </row>
    <row r="66" spans="1:3" x14ac:dyDescent="0.2">
      <c r="A66" s="20">
        <v>42</v>
      </c>
      <c r="B66" s="20">
        <v>8.2115459417460832E-2</v>
      </c>
      <c r="C66" s="20">
        <v>1.7884540582539035E-2</v>
      </c>
    </row>
    <row r="67" spans="1:3" x14ac:dyDescent="0.2">
      <c r="A67" s="20">
        <v>43</v>
      </c>
      <c r="B67" s="20">
        <v>-0.16532485727106355</v>
      </c>
      <c r="C67" s="20">
        <v>8.2324857271063367E-2</v>
      </c>
    </row>
    <row r="68" spans="1:3" x14ac:dyDescent="0.2">
      <c r="A68" s="20">
        <v>44</v>
      </c>
      <c r="B68" s="20">
        <v>0.19781446800659441</v>
      </c>
      <c r="C68" s="20">
        <v>3.118553199340568E-2</v>
      </c>
    </row>
    <row r="69" spans="1:3" x14ac:dyDescent="0.2">
      <c r="A69" s="20">
        <v>45</v>
      </c>
      <c r="B69" s="20">
        <v>3.9335994056773058E-2</v>
      </c>
      <c r="C69" s="20">
        <v>-2.5335994056772823E-2</v>
      </c>
    </row>
    <row r="70" spans="1:3" x14ac:dyDescent="0.2">
      <c r="A70" s="20">
        <v>46</v>
      </c>
      <c r="B70" s="20">
        <v>6.7774615915866823E-2</v>
      </c>
      <c r="C70" s="20">
        <v>-2.9774615915867012E-2</v>
      </c>
    </row>
    <row r="71" spans="1:3" x14ac:dyDescent="0.2">
      <c r="A71" s="20">
        <v>47</v>
      </c>
      <c r="B71" s="20">
        <v>0.17934151705538812</v>
      </c>
      <c r="C71" s="20">
        <v>5.7658482944611983E-2</v>
      </c>
    </row>
    <row r="72" spans="1:3" x14ac:dyDescent="0.2">
      <c r="A72" s="20">
        <v>48</v>
      </c>
      <c r="B72" s="20">
        <v>-6.6033181771475956E-3</v>
      </c>
      <c r="C72" s="20">
        <v>0.22060331817714757</v>
      </c>
    </row>
    <row r="73" spans="1:3" x14ac:dyDescent="0.2">
      <c r="A73" s="20">
        <v>49</v>
      </c>
      <c r="B73" s="20">
        <v>0.15138902548448421</v>
      </c>
      <c r="C73" s="20">
        <v>0.10461097451551601</v>
      </c>
    </row>
    <row r="74" spans="1:3" x14ac:dyDescent="0.2">
      <c r="A74" s="20">
        <v>50</v>
      </c>
      <c r="B74" s="20">
        <v>0.22382243842474014</v>
      </c>
      <c r="C74" s="20">
        <v>-6.0822438424740333E-2</v>
      </c>
    </row>
    <row r="75" spans="1:3" x14ac:dyDescent="0.2">
      <c r="A75" s="20">
        <v>51</v>
      </c>
      <c r="B75" s="20">
        <v>0.17788312619081947</v>
      </c>
      <c r="C75" s="20">
        <v>2.9116873809180377E-2</v>
      </c>
    </row>
    <row r="76" spans="1:3" x14ac:dyDescent="0.2">
      <c r="A76" s="20">
        <v>52</v>
      </c>
      <c r="B76" s="20">
        <v>-0.25696041659481023</v>
      </c>
      <c r="C76" s="20">
        <v>2.296041659481024E-2</v>
      </c>
    </row>
    <row r="77" spans="1:3" x14ac:dyDescent="0.2">
      <c r="A77" s="20">
        <v>53</v>
      </c>
      <c r="B77" s="20">
        <v>-0.17699198418761528</v>
      </c>
      <c r="C77" s="20">
        <v>3.8991984187615375E-2</v>
      </c>
    </row>
    <row r="78" spans="1:3" x14ac:dyDescent="0.2">
      <c r="A78" s="20">
        <v>54</v>
      </c>
      <c r="B78" s="20">
        <v>1.2112697918153652E-2</v>
      </c>
      <c r="C78" s="20">
        <v>0.15288730208184639</v>
      </c>
    </row>
    <row r="79" spans="1:3" x14ac:dyDescent="0.2">
      <c r="A79" s="20">
        <v>55</v>
      </c>
      <c r="B79" s="20">
        <v>-0.16410953155058988</v>
      </c>
      <c r="C79" s="20">
        <v>0.11610953155058984</v>
      </c>
    </row>
    <row r="80" spans="1:3" x14ac:dyDescent="0.2">
      <c r="A80" s="20">
        <v>56</v>
      </c>
      <c r="B80" s="20">
        <v>-0.23727213992312993</v>
      </c>
      <c r="C80" s="20">
        <v>-3.1727860076870201E-2</v>
      </c>
    </row>
    <row r="81" spans="1:3" x14ac:dyDescent="0.2">
      <c r="A81" s="20">
        <v>57</v>
      </c>
      <c r="B81" s="20">
        <v>0.34948711792176085</v>
      </c>
      <c r="C81" s="20">
        <v>-0.16548711792176068</v>
      </c>
    </row>
    <row r="82" spans="1:3" x14ac:dyDescent="0.2">
      <c r="A82" s="20">
        <v>58</v>
      </c>
      <c r="B82" s="20">
        <v>0.177153930758535</v>
      </c>
      <c r="C82" s="20">
        <v>-0.20415393075853513</v>
      </c>
    </row>
    <row r="83" spans="1:3" ht="17" thickBot="1" x14ac:dyDescent="0.25">
      <c r="A83" s="21">
        <v>59</v>
      </c>
      <c r="B83" s="21">
        <v>-3.4312744603956884E-2</v>
      </c>
      <c r="C83" s="21">
        <v>-4.9687255396043191E-2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EF26FA-3B6B-B54A-911E-07A7F0B773E9}">
  <dimension ref="A1:I83"/>
  <sheetViews>
    <sheetView zoomScale="138" workbookViewId="0">
      <selection activeCell="B4" sqref="B4:B8"/>
    </sheetView>
  </sheetViews>
  <sheetFormatPr baseColWidth="10" defaultRowHeight="16" x14ac:dyDescent="0.2"/>
  <cols>
    <col min="1" max="1" width="16.6640625" bestFit="1" customWidth="1"/>
    <col min="2" max="2" width="13.6640625" bestFit="1" customWidth="1"/>
  </cols>
  <sheetData>
    <row r="1" spans="1:9" x14ac:dyDescent="0.2">
      <c r="A1" t="s">
        <v>19</v>
      </c>
    </row>
    <row r="2" spans="1:9" ht="17" thickBot="1" x14ac:dyDescent="0.25"/>
    <row r="3" spans="1:9" x14ac:dyDescent="0.2">
      <c r="A3" s="30" t="s">
        <v>20</v>
      </c>
      <c r="B3" s="30"/>
    </row>
    <row r="4" spans="1:9" x14ac:dyDescent="0.2">
      <c r="A4" s="20" t="s">
        <v>21</v>
      </c>
      <c r="B4" s="20">
        <v>0.97910848762059532</v>
      </c>
    </row>
    <row r="5" spans="1:9" x14ac:dyDescent="0.2">
      <c r="A5" s="23" t="s">
        <v>22</v>
      </c>
      <c r="B5" s="23">
        <v>0.95865343053068941</v>
      </c>
    </row>
    <row r="6" spans="1:9" x14ac:dyDescent="0.2">
      <c r="A6" s="20" t="s">
        <v>23</v>
      </c>
      <c r="B6" s="20">
        <v>0.95792805211894705</v>
      </c>
    </row>
    <row r="7" spans="1:9" x14ac:dyDescent="0.2">
      <c r="A7" s="20" t="s">
        <v>24</v>
      </c>
      <c r="B7" s="20">
        <v>4.7350813611798742E-2</v>
      </c>
    </row>
    <row r="8" spans="1:9" ht="17" thickBot="1" x14ac:dyDescent="0.25">
      <c r="A8" s="21" t="s">
        <v>25</v>
      </c>
      <c r="B8" s="21">
        <v>59</v>
      </c>
    </row>
    <row r="10" spans="1:9" ht="17" thickBot="1" x14ac:dyDescent="0.25">
      <c r="A10" t="s">
        <v>26</v>
      </c>
    </row>
    <row r="11" spans="1:9" x14ac:dyDescent="0.2">
      <c r="A11" s="22"/>
      <c r="B11" s="22" t="s">
        <v>31</v>
      </c>
      <c r="C11" s="22" t="s">
        <v>32</v>
      </c>
      <c r="D11" s="22" t="s">
        <v>33</v>
      </c>
      <c r="E11" s="22" t="s">
        <v>34</v>
      </c>
      <c r="F11" s="22" t="s">
        <v>35</v>
      </c>
    </row>
    <row r="12" spans="1:9" x14ac:dyDescent="0.2">
      <c r="A12" s="20" t="s">
        <v>27</v>
      </c>
      <c r="B12" s="20">
        <v>1</v>
      </c>
      <c r="C12" s="20">
        <v>2.9631381222773086</v>
      </c>
      <c r="D12" s="20">
        <v>2.9631381222773086</v>
      </c>
      <c r="E12" s="20">
        <v>1321.5907931807508</v>
      </c>
      <c r="F12" s="20">
        <v>3.9762660036781215E-41</v>
      </c>
    </row>
    <row r="13" spans="1:9" x14ac:dyDescent="0.2">
      <c r="A13" s="20" t="s">
        <v>28</v>
      </c>
      <c r="B13" s="20">
        <v>57</v>
      </c>
      <c r="C13" s="20">
        <v>0.12779967433286038</v>
      </c>
      <c r="D13" s="20">
        <v>2.2420995496993047E-3</v>
      </c>
      <c r="E13" s="20"/>
      <c r="F13" s="20"/>
    </row>
    <row r="14" spans="1:9" ht="17" thickBot="1" x14ac:dyDescent="0.25">
      <c r="A14" s="21" t="s">
        <v>29</v>
      </c>
      <c r="B14" s="21">
        <v>58</v>
      </c>
      <c r="C14" s="21">
        <v>3.0909377966101688</v>
      </c>
      <c r="D14" s="21"/>
      <c r="E14" s="21"/>
      <c r="F14" s="21"/>
    </row>
    <row r="15" spans="1:9" ht="17" thickBot="1" x14ac:dyDescent="0.25"/>
    <row r="16" spans="1:9" x14ac:dyDescent="0.2">
      <c r="A16" s="22"/>
      <c r="B16" s="22" t="s">
        <v>36</v>
      </c>
      <c r="C16" s="22" t="s">
        <v>24</v>
      </c>
      <c r="D16" s="22" t="s">
        <v>37</v>
      </c>
      <c r="E16" s="22" t="s">
        <v>38</v>
      </c>
      <c r="F16" s="22" t="s">
        <v>39</v>
      </c>
      <c r="G16" s="22" t="s">
        <v>40</v>
      </c>
      <c r="H16" s="22" t="s">
        <v>41</v>
      </c>
      <c r="I16" s="22" t="s">
        <v>42</v>
      </c>
    </row>
    <row r="17" spans="1:9" x14ac:dyDescent="0.2">
      <c r="A17" s="20" t="s">
        <v>30</v>
      </c>
      <c r="B17" s="20">
        <v>-2.0207854478337429E-3</v>
      </c>
      <c r="C17" s="20">
        <v>6.193245029572623E-3</v>
      </c>
      <c r="D17" s="20">
        <v>-0.32628863191824842</v>
      </c>
      <c r="E17" s="20">
        <v>0.74540099571290308</v>
      </c>
      <c r="F17" s="20">
        <v>-1.4422544700478629E-2</v>
      </c>
      <c r="G17" s="20">
        <v>1.0380973804811143E-2</v>
      </c>
      <c r="H17" s="20">
        <v>-1.4422544700478629E-2</v>
      </c>
      <c r="I17" s="20">
        <v>1.0380973804811143E-2</v>
      </c>
    </row>
    <row r="18" spans="1:9" ht="17" thickBot="1" x14ac:dyDescent="0.25">
      <c r="A18" s="21" t="s">
        <v>43</v>
      </c>
      <c r="B18" s="21">
        <v>1.0333546451635849</v>
      </c>
      <c r="C18" s="21">
        <v>2.8425027519561739E-2</v>
      </c>
      <c r="D18" s="21">
        <v>36.353690227826284</v>
      </c>
      <c r="E18" s="21">
        <v>3.9762660036780088E-41</v>
      </c>
      <c r="F18" s="21">
        <v>0.97643450937626619</v>
      </c>
      <c r="G18" s="21">
        <v>1.0902747809509037</v>
      </c>
      <c r="H18" s="21">
        <v>0.97643450937626619</v>
      </c>
      <c r="I18" s="21">
        <v>1.0902747809509037</v>
      </c>
    </row>
    <row r="22" spans="1:9" x14ac:dyDescent="0.2">
      <c r="A22" t="s">
        <v>44</v>
      </c>
    </row>
    <row r="23" spans="1:9" ht="17" thickBot="1" x14ac:dyDescent="0.25"/>
    <row r="24" spans="1:9" x14ac:dyDescent="0.2">
      <c r="A24" s="22" t="s">
        <v>45</v>
      </c>
      <c r="B24" s="22" t="s">
        <v>46</v>
      </c>
      <c r="C24" s="22" t="s">
        <v>47</v>
      </c>
    </row>
    <row r="25" spans="1:9" x14ac:dyDescent="0.2">
      <c r="A25" s="20">
        <v>1</v>
      </c>
      <c r="B25" s="20">
        <v>0.10131467906852461</v>
      </c>
      <c r="C25" s="20">
        <v>-7.3146790685245239E-3</v>
      </c>
    </row>
    <row r="26" spans="1:9" x14ac:dyDescent="0.2">
      <c r="A26" s="20">
        <v>2</v>
      </c>
      <c r="B26" s="20">
        <v>9.0981132616888977E-2</v>
      </c>
      <c r="C26" s="20">
        <v>7.3018867383110947E-2</v>
      </c>
    </row>
    <row r="27" spans="1:9" x14ac:dyDescent="0.2">
      <c r="A27" s="20">
        <v>3</v>
      </c>
      <c r="B27" s="20">
        <v>2.4846435326419489E-2</v>
      </c>
      <c r="C27" s="20">
        <v>7.1535646735805397E-3</v>
      </c>
    </row>
    <row r="28" spans="1:9" x14ac:dyDescent="0.2">
      <c r="A28" s="20">
        <v>4</v>
      </c>
      <c r="B28" s="20">
        <v>-7.1875586736517864E-3</v>
      </c>
      <c r="C28" s="20">
        <v>2.187558673651893E-3</v>
      </c>
    </row>
    <row r="29" spans="1:9" x14ac:dyDescent="0.2">
      <c r="A29" s="20">
        <v>5</v>
      </c>
      <c r="B29" s="20">
        <v>0.1333486730685961</v>
      </c>
      <c r="C29" s="20">
        <v>-8.7348673068596283E-2</v>
      </c>
    </row>
    <row r="30" spans="1:9" x14ac:dyDescent="0.2">
      <c r="A30" s="20">
        <v>6</v>
      </c>
      <c r="B30" s="20">
        <v>7.2380749003944436E-2</v>
      </c>
      <c r="C30" s="20">
        <v>3.561925099605566E-2</v>
      </c>
    </row>
    <row r="31" spans="1:9" x14ac:dyDescent="0.2">
      <c r="A31" s="20">
        <v>7</v>
      </c>
      <c r="B31" s="20">
        <v>-6.1955354867321948E-2</v>
      </c>
      <c r="C31" s="20">
        <v>-1.0446451326782194E-3</v>
      </c>
    </row>
    <row r="32" spans="1:9" x14ac:dyDescent="0.2">
      <c r="A32" s="20">
        <v>8</v>
      </c>
      <c r="B32" s="20">
        <v>0.16538266706866692</v>
      </c>
      <c r="C32" s="20">
        <v>-1.2382667068666892E-2</v>
      </c>
    </row>
    <row r="33" spans="1:3" x14ac:dyDescent="0.2">
      <c r="A33" s="20">
        <v>9</v>
      </c>
      <c r="B33" s="20">
        <v>0.31521909061738673</v>
      </c>
      <c r="C33" s="20">
        <v>-1.1219090617386462E-2</v>
      </c>
    </row>
    <row r="34" spans="1:3" x14ac:dyDescent="0.2">
      <c r="A34" s="20">
        <v>10</v>
      </c>
      <c r="B34" s="20">
        <v>-9.2542679639784995E-3</v>
      </c>
      <c r="C34" s="20">
        <v>-1.4745732036021522E-2</v>
      </c>
    </row>
    <row r="35" spans="1:3" x14ac:dyDescent="0.2">
      <c r="A35" s="20">
        <v>11</v>
      </c>
      <c r="B35" s="20">
        <v>0.15194905668154043</v>
      </c>
      <c r="C35" s="20">
        <v>-4.6949056681540452E-2</v>
      </c>
    </row>
    <row r="36" spans="1:3" x14ac:dyDescent="0.2">
      <c r="A36" s="20">
        <v>12</v>
      </c>
      <c r="B36" s="20">
        <v>-0.13119011609328185</v>
      </c>
      <c r="C36" s="20">
        <v>3.0190116093281871E-2</v>
      </c>
    </row>
    <row r="37" spans="1:3" x14ac:dyDescent="0.2">
      <c r="A37" s="20">
        <v>13</v>
      </c>
      <c r="B37" s="20">
        <v>0.2904185791334607</v>
      </c>
      <c r="C37" s="20">
        <v>5.2581420866539275E-2</v>
      </c>
    </row>
    <row r="38" spans="1:3" x14ac:dyDescent="0.2">
      <c r="A38" s="20">
        <v>14</v>
      </c>
      <c r="B38" s="20">
        <v>0.27905167803666114</v>
      </c>
      <c r="C38" s="20">
        <v>-0.13305167803666124</v>
      </c>
    </row>
    <row r="39" spans="1:3" x14ac:dyDescent="0.2">
      <c r="A39" s="20">
        <v>15</v>
      </c>
      <c r="B39" s="20">
        <v>0.11888170803630568</v>
      </c>
      <c r="C39" s="20">
        <v>0.14911829196369455</v>
      </c>
    </row>
    <row r="40" spans="1:3" x14ac:dyDescent="0.2">
      <c r="A40" s="20">
        <v>16</v>
      </c>
      <c r="B40" s="20">
        <v>0.46505551416610658</v>
      </c>
      <c r="C40" s="20">
        <v>-5.8055514166106548E-2</v>
      </c>
    </row>
    <row r="41" spans="1:3" x14ac:dyDescent="0.2">
      <c r="A41" s="20">
        <v>17</v>
      </c>
      <c r="B41" s="20">
        <v>0.24908439332691773</v>
      </c>
      <c r="C41" s="20">
        <v>3.4915606673081634E-2</v>
      </c>
    </row>
    <row r="42" spans="1:3" x14ac:dyDescent="0.2">
      <c r="A42" s="20">
        <v>18</v>
      </c>
      <c r="B42" s="20">
        <v>-0.47219714899726495</v>
      </c>
      <c r="C42" s="20">
        <v>6.1971489972652005E-3</v>
      </c>
    </row>
    <row r="43" spans="1:3" x14ac:dyDescent="0.2">
      <c r="A43" s="20">
        <v>19</v>
      </c>
      <c r="B43" s="20">
        <v>-0.2965268593194556</v>
      </c>
      <c r="C43" s="20">
        <v>3.8526859319455597E-2</v>
      </c>
    </row>
    <row r="44" spans="1:3" x14ac:dyDescent="0.2">
      <c r="A44" s="20">
        <v>20</v>
      </c>
      <c r="B44" s="20">
        <v>-0.31099382435174555</v>
      </c>
      <c r="C44" s="20">
        <v>3.699382435174553E-2</v>
      </c>
    </row>
    <row r="45" spans="1:3" x14ac:dyDescent="0.2">
      <c r="A45" s="20">
        <v>21</v>
      </c>
      <c r="B45" s="20">
        <v>-0.79357044364313978</v>
      </c>
      <c r="C45" s="20">
        <v>-0.13442955635686016</v>
      </c>
    </row>
    <row r="46" spans="1:3" x14ac:dyDescent="0.2">
      <c r="A46" s="20">
        <v>22</v>
      </c>
      <c r="B46" s="20">
        <v>-0.4039957424164683</v>
      </c>
      <c r="C46" s="20">
        <v>6.9995742416468443E-2</v>
      </c>
    </row>
    <row r="47" spans="1:3" x14ac:dyDescent="0.2">
      <c r="A47" s="20">
        <v>23</v>
      </c>
      <c r="B47" s="20">
        <v>-0.39676225990032304</v>
      </c>
      <c r="C47" s="20">
        <v>-4.3237740099676902E-2</v>
      </c>
    </row>
    <row r="48" spans="1:3" x14ac:dyDescent="0.2">
      <c r="A48" s="20">
        <v>24</v>
      </c>
      <c r="B48" s="20">
        <v>0.12508183590728719</v>
      </c>
      <c r="C48" s="20">
        <v>-2.9081835907287329E-2</v>
      </c>
    </row>
    <row r="49" spans="1:3" x14ac:dyDescent="0.2">
      <c r="A49" s="20">
        <v>25</v>
      </c>
      <c r="B49" s="20">
        <v>-0.17355765654498898</v>
      </c>
      <c r="C49" s="20">
        <v>2.2557656544988952E-2</v>
      </c>
    </row>
    <row r="50" spans="1:3" x14ac:dyDescent="0.2">
      <c r="A50" s="20">
        <v>26</v>
      </c>
      <c r="B50" s="20">
        <v>6.5147266487799449E-2</v>
      </c>
      <c r="C50" s="20">
        <v>1.0852733512200619E-2</v>
      </c>
    </row>
    <row r="51" spans="1:3" x14ac:dyDescent="0.2">
      <c r="A51" s="20">
        <v>27</v>
      </c>
      <c r="B51" s="20">
        <v>-4.0254907318886535E-2</v>
      </c>
      <c r="C51" s="20">
        <v>-6.745092681113396E-3</v>
      </c>
    </row>
    <row r="52" spans="1:3" x14ac:dyDescent="0.2">
      <c r="A52" s="20">
        <v>28</v>
      </c>
      <c r="B52" s="20">
        <v>0.34621972997229433</v>
      </c>
      <c r="C52" s="20">
        <v>3.1780270027705559E-2</v>
      </c>
    </row>
    <row r="53" spans="1:3" x14ac:dyDescent="0.2">
      <c r="A53" s="20">
        <v>29</v>
      </c>
      <c r="B53" s="20">
        <v>7.9614231520089646E-2</v>
      </c>
      <c r="C53" s="20">
        <v>3.6385768479910457E-2</v>
      </c>
    </row>
    <row r="54" spans="1:3" x14ac:dyDescent="0.2">
      <c r="A54" s="20">
        <v>30</v>
      </c>
      <c r="B54" s="20">
        <v>7.8580876874925723E-2</v>
      </c>
      <c r="C54" s="20">
        <v>-3.5580876874925796E-2</v>
      </c>
    </row>
    <row r="55" spans="1:3" x14ac:dyDescent="0.2">
      <c r="A55" s="20">
        <v>31</v>
      </c>
      <c r="B55" s="20">
        <v>-2.2687878351105459E-2</v>
      </c>
      <c r="C55" s="20">
        <v>-2.7312121648894586E-2</v>
      </c>
    </row>
    <row r="56" spans="1:3" x14ac:dyDescent="0.2">
      <c r="A56" s="20">
        <v>32</v>
      </c>
      <c r="B56" s="20">
        <v>3.1046563197401001E-2</v>
      </c>
      <c r="C56" s="20">
        <v>-1.8046563197400878E-2</v>
      </c>
    </row>
    <row r="57" spans="1:3" x14ac:dyDescent="0.2">
      <c r="A57" s="20">
        <v>33</v>
      </c>
      <c r="B57" s="20">
        <v>0.16331595777833999</v>
      </c>
      <c r="C57" s="20">
        <v>1.8684042221659952E-2</v>
      </c>
    </row>
    <row r="58" spans="1:3" x14ac:dyDescent="0.2">
      <c r="A58" s="20">
        <v>34</v>
      </c>
      <c r="B58" s="20">
        <v>1.7612952810274272E-2</v>
      </c>
      <c r="C58" s="20">
        <v>1.0387047189725752E-2</v>
      </c>
    </row>
    <row r="59" spans="1:3" x14ac:dyDescent="0.2">
      <c r="A59" s="20">
        <v>35</v>
      </c>
      <c r="B59" s="20">
        <v>0.12714854519761437</v>
      </c>
      <c r="C59" s="20">
        <v>-4.3148545197614296E-2</v>
      </c>
    </row>
    <row r="60" spans="1:3" x14ac:dyDescent="0.2">
      <c r="A60" s="20">
        <v>36</v>
      </c>
      <c r="B60" s="20">
        <v>-0.22419203415800457</v>
      </c>
      <c r="C60" s="20">
        <v>4.6192034158004408E-2</v>
      </c>
    </row>
    <row r="61" spans="1:3" x14ac:dyDescent="0.2">
      <c r="A61" s="20">
        <v>37</v>
      </c>
      <c r="B61" s="20">
        <v>0.12818189984277806</v>
      </c>
      <c r="C61" s="20">
        <v>1.6818100157222182E-2</v>
      </c>
    </row>
    <row r="62" spans="1:3" x14ac:dyDescent="0.2">
      <c r="A62" s="20">
        <v>38</v>
      </c>
      <c r="B62" s="20">
        <v>0.14471557416539521</v>
      </c>
      <c r="C62" s="20">
        <v>-1.1715574165395204E-2</v>
      </c>
    </row>
    <row r="63" spans="1:3" x14ac:dyDescent="0.2">
      <c r="A63" s="20">
        <v>39</v>
      </c>
      <c r="B63" s="20">
        <v>0.10441474300401571</v>
      </c>
      <c r="C63" s="20">
        <v>3.1585256995983968E-2</v>
      </c>
    </row>
    <row r="64" spans="1:3" x14ac:dyDescent="0.2">
      <c r="A64" s="20">
        <v>40</v>
      </c>
      <c r="B64" s="20">
        <v>-0.26965963854520258</v>
      </c>
      <c r="C64" s="20">
        <v>-1.5340361454797113E-2</v>
      </c>
    </row>
    <row r="65" spans="1:3" x14ac:dyDescent="0.2">
      <c r="A65" s="20">
        <v>41</v>
      </c>
      <c r="B65" s="20">
        <v>-3.4054779447904561E-2</v>
      </c>
      <c r="C65" s="20">
        <v>-1.194522055209548E-2</v>
      </c>
    </row>
    <row r="66" spans="1:3" x14ac:dyDescent="0.2">
      <c r="A66" s="20">
        <v>42</v>
      </c>
      <c r="B66" s="20">
        <v>6.3080557197471812E-2</v>
      </c>
      <c r="C66" s="20">
        <v>3.6919442802528055E-2</v>
      </c>
    </row>
    <row r="67" spans="1:3" x14ac:dyDescent="0.2">
      <c r="A67" s="20">
        <v>43</v>
      </c>
      <c r="B67" s="20">
        <v>-7.6422319899611693E-2</v>
      </c>
      <c r="C67" s="20">
        <v>-6.5776801003884916E-3</v>
      </c>
    </row>
    <row r="68" spans="1:3" x14ac:dyDescent="0.2">
      <c r="A68" s="20">
        <v>44</v>
      </c>
      <c r="B68" s="20">
        <v>0.28008503268182483</v>
      </c>
      <c r="C68" s="20">
        <v>-5.1085032681824738E-2</v>
      </c>
    </row>
    <row r="69" spans="1:3" x14ac:dyDescent="0.2">
      <c r="A69" s="20">
        <v>45</v>
      </c>
      <c r="B69" s="20">
        <v>-3.0954715512414147E-2</v>
      </c>
      <c r="C69" s="20">
        <v>4.4954715512414381E-2</v>
      </c>
    </row>
    <row r="70" spans="1:3" x14ac:dyDescent="0.2">
      <c r="A70" s="20">
        <v>46</v>
      </c>
      <c r="B70" s="20">
        <v>7.7547522229762245E-2</v>
      </c>
      <c r="C70" s="20">
        <v>-3.9547522229762433E-2</v>
      </c>
    </row>
    <row r="71" spans="1:3" x14ac:dyDescent="0.2">
      <c r="A71" s="20">
        <v>47</v>
      </c>
      <c r="B71" s="20">
        <v>0.26458471300437114</v>
      </c>
      <c r="C71" s="20">
        <v>-2.7584713004371042E-2</v>
      </c>
    </row>
    <row r="72" spans="1:3" x14ac:dyDescent="0.2">
      <c r="A72" s="20">
        <v>48</v>
      </c>
      <c r="B72" s="20">
        <v>0.18088298674612083</v>
      </c>
      <c r="C72" s="20">
        <v>3.3117013253879141E-2</v>
      </c>
    </row>
    <row r="73" spans="1:3" x14ac:dyDescent="0.2">
      <c r="A73" s="20">
        <v>49</v>
      </c>
      <c r="B73" s="20">
        <v>0.20981691681070122</v>
      </c>
      <c r="C73" s="20">
        <v>4.6183083189299007E-2</v>
      </c>
    </row>
    <row r="74" spans="1:3" x14ac:dyDescent="0.2">
      <c r="A74" s="20">
        <v>50</v>
      </c>
      <c r="B74" s="20">
        <v>0.1736495042299756</v>
      </c>
      <c r="C74" s="20">
        <v>-1.0649504229975792E-2</v>
      </c>
    </row>
    <row r="75" spans="1:3" x14ac:dyDescent="0.2">
      <c r="A75" s="20">
        <v>51</v>
      </c>
      <c r="B75" s="20">
        <v>0.16848273100415781</v>
      </c>
      <c r="C75" s="20">
        <v>3.8517268995842041E-2</v>
      </c>
    </row>
    <row r="76" spans="1:3" x14ac:dyDescent="0.2">
      <c r="A76" s="20">
        <v>52</v>
      </c>
      <c r="B76" s="20">
        <v>-0.22315867951284088</v>
      </c>
      <c r="C76" s="20">
        <v>-1.0841320487159106E-2</v>
      </c>
    </row>
    <row r="77" spans="1:3" x14ac:dyDescent="0.2">
      <c r="A77" s="20">
        <v>53</v>
      </c>
      <c r="B77" s="20">
        <v>-0.11878986035131882</v>
      </c>
      <c r="C77" s="20">
        <v>-1.9210139648681082E-2</v>
      </c>
    </row>
    <row r="78" spans="1:3" x14ac:dyDescent="0.2">
      <c r="A78" s="20">
        <v>54</v>
      </c>
      <c r="B78" s="20">
        <v>0.1529824113267039</v>
      </c>
      <c r="C78" s="20">
        <v>1.2017588673296137E-2</v>
      </c>
    </row>
    <row r="79" spans="1:3" x14ac:dyDescent="0.2">
      <c r="A79" s="20">
        <v>55</v>
      </c>
      <c r="B79" s="20">
        <v>-2.0621169060778058E-2</v>
      </c>
      <c r="C79" s="20">
        <v>-2.7378830939221985E-2</v>
      </c>
    </row>
    <row r="80" spans="1:3" x14ac:dyDescent="0.2">
      <c r="A80" s="20">
        <v>56</v>
      </c>
      <c r="B80" s="20">
        <v>-0.29859356860978253</v>
      </c>
      <c r="C80" s="20">
        <v>2.9593568609782406E-2</v>
      </c>
    </row>
    <row r="81" spans="1:3" x14ac:dyDescent="0.2">
      <c r="A81" s="20">
        <v>57</v>
      </c>
      <c r="B81" s="20">
        <v>0.26561806764953466</v>
      </c>
      <c r="C81" s="20">
        <v>-8.1618067649534498E-2</v>
      </c>
    </row>
    <row r="82" spans="1:3" x14ac:dyDescent="0.2">
      <c r="A82" s="20">
        <v>58</v>
      </c>
      <c r="B82" s="20">
        <v>-3.0954715512414147E-2</v>
      </c>
      <c r="C82" s="20">
        <v>3.9547155124140115E-3</v>
      </c>
    </row>
    <row r="83" spans="1:3" ht="17" thickBot="1" x14ac:dyDescent="0.25">
      <c r="A83" s="21">
        <v>59</v>
      </c>
      <c r="B83" s="21">
        <v>-0.10018947673837451</v>
      </c>
      <c r="C83" s="21">
        <v>1.6189476738374439E-2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7BE980-A633-A44F-A35B-E4E5E564C956}">
  <dimension ref="A1:T62"/>
  <sheetViews>
    <sheetView topLeftCell="F15" zoomScale="125" zoomScaleNormal="130" workbookViewId="0">
      <selection activeCell="E5" sqref="A5:E13"/>
    </sheetView>
  </sheetViews>
  <sheetFormatPr baseColWidth="10" defaultRowHeight="16" x14ac:dyDescent="0.2"/>
  <cols>
    <col min="2" max="3" width="24.6640625" style="36" customWidth="1"/>
    <col min="13" max="13" width="39.83203125" bestFit="1" customWidth="1"/>
    <col min="14" max="14" width="16.1640625" bestFit="1" customWidth="1"/>
    <col min="15" max="15" width="18.33203125" bestFit="1" customWidth="1"/>
    <col min="16" max="16" width="16.83203125" bestFit="1" customWidth="1"/>
    <col min="17" max="17" width="12.1640625" bestFit="1" customWidth="1"/>
    <col min="19" max="19" width="16.83203125" bestFit="1" customWidth="1"/>
    <col min="20" max="20" width="12.1640625" bestFit="1" customWidth="1"/>
    <col min="22" max="22" width="16.83203125" bestFit="1" customWidth="1"/>
    <col min="23" max="23" width="12.6640625" bestFit="1" customWidth="1"/>
    <col min="25" max="25" width="16.83203125" bestFit="1" customWidth="1"/>
    <col min="26" max="26" width="12.6640625" bestFit="1" customWidth="1"/>
  </cols>
  <sheetData>
    <row r="1" spans="1:20" x14ac:dyDescent="0.2">
      <c r="F1" s="41" t="s">
        <v>56</v>
      </c>
      <c r="G1" s="42"/>
      <c r="H1" s="42"/>
      <c r="I1" s="42"/>
    </row>
    <row r="2" spans="1:20" ht="17" thickBot="1" x14ac:dyDescent="0.25">
      <c r="F2" s="42"/>
      <c r="G2" s="43" t="s">
        <v>57</v>
      </c>
      <c r="H2" s="43" t="s">
        <v>58</v>
      </c>
      <c r="I2" s="43" t="s">
        <v>58</v>
      </c>
      <c r="M2" s="45"/>
      <c r="N2" s="45"/>
      <c r="O2" s="45"/>
      <c r="P2" s="46" t="s">
        <v>62</v>
      </c>
    </row>
    <row r="3" spans="1:20" ht="103" thickTop="1" x14ac:dyDescent="0.2">
      <c r="A3" s="39" t="s">
        <v>55</v>
      </c>
      <c r="B3" s="40" t="s">
        <v>48</v>
      </c>
      <c r="C3" s="40" t="s">
        <v>52</v>
      </c>
      <c r="D3" s="40" t="s">
        <v>54</v>
      </c>
      <c r="E3" s="40"/>
      <c r="F3" s="42" t="s">
        <v>55</v>
      </c>
      <c r="G3" s="44" t="s">
        <v>59</v>
      </c>
      <c r="H3" s="44" t="s">
        <v>60</v>
      </c>
      <c r="I3" s="44" t="s">
        <v>79</v>
      </c>
      <c r="J3" s="44" t="s">
        <v>61</v>
      </c>
      <c r="K3" s="44" t="s">
        <v>80</v>
      </c>
      <c r="M3" s="49" t="s">
        <v>63</v>
      </c>
      <c r="N3" s="50"/>
      <c r="O3" s="51" t="s">
        <v>57</v>
      </c>
      <c r="P3" s="52">
        <f>-20000000</f>
        <v>-20000000</v>
      </c>
    </row>
    <row r="4" spans="1:20" x14ac:dyDescent="0.2">
      <c r="A4">
        <v>1</v>
      </c>
      <c r="B4" s="36">
        <v>9.4000000000000083E-2</v>
      </c>
      <c r="C4" s="36">
        <v>3.6099999999999994</v>
      </c>
      <c r="D4">
        <v>2.8699999999999974</v>
      </c>
      <c r="F4">
        <v>1</v>
      </c>
      <c r="G4">
        <f>ABS(B4*$P$3)</f>
        <v>1880000.0000000016</v>
      </c>
      <c r="H4">
        <f>ABS(C4*$P$5*12)</f>
        <v>1819439.9999999995</v>
      </c>
      <c r="I4">
        <f>ABS(D4*$P$5*12)</f>
        <v>1446479.9999999988</v>
      </c>
      <c r="J4">
        <f>ABS(G4-H4)</f>
        <v>60560.000000002095</v>
      </c>
      <c r="K4">
        <f>ABS(G4-I4)</f>
        <v>433520.00000000279</v>
      </c>
      <c r="M4" s="50"/>
      <c r="N4" s="50"/>
      <c r="O4" s="50"/>
      <c r="P4" s="48"/>
    </row>
    <row r="5" spans="1:20" x14ac:dyDescent="0.2">
      <c r="A5">
        <v>2</v>
      </c>
      <c r="B5" s="36">
        <v>0.16399999999999992</v>
      </c>
      <c r="C5" s="36">
        <v>4.1599999999999966</v>
      </c>
      <c r="D5">
        <v>9.0799999999999983</v>
      </c>
      <c r="F5">
        <v>2</v>
      </c>
      <c r="G5">
        <f>ABS(B5*$P$3)</f>
        <v>3279999.9999999986</v>
      </c>
      <c r="H5">
        <f t="shared" ref="H5:H62" si="0">ABS(C5*$P$5*12)</f>
        <v>2096639.9999999981</v>
      </c>
      <c r="I5">
        <f t="shared" ref="I5:I62" si="1">ABS(D5*$P$5*12)</f>
        <v>4576319.9999999991</v>
      </c>
      <c r="J5">
        <f t="shared" ref="J5:J62" si="2">ABS(G5-H5)</f>
        <v>1183360.0000000005</v>
      </c>
      <c r="K5">
        <f t="shared" ref="K5:K62" si="3">ABS(G5-I5)</f>
        <v>1296320.0000000005</v>
      </c>
      <c r="M5" s="49" t="s">
        <v>64</v>
      </c>
      <c r="N5" s="50"/>
      <c r="O5" s="53"/>
      <c r="P5" s="54">
        <v>42000</v>
      </c>
    </row>
    <row r="6" spans="1:20" x14ac:dyDescent="0.2">
      <c r="A6">
        <v>3</v>
      </c>
      <c r="B6" s="36">
        <v>3.2000000000000028E-2</v>
      </c>
      <c r="C6" s="36">
        <v>0.15999999999999659</v>
      </c>
      <c r="D6">
        <v>1.2399999999999949</v>
      </c>
      <c r="F6">
        <v>3</v>
      </c>
      <c r="G6">
        <f>ABS(B6*$P$3)</f>
        <v>640000.00000000058</v>
      </c>
      <c r="H6">
        <f t="shared" si="0"/>
        <v>80639.999999998283</v>
      </c>
      <c r="I6">
        <f t="shared" si="1"/>
        <v>624959.99999999744</v>
      </c>
      <c r="J6">
        <f t="shared" si="2"/>
        <v>559360.00000000233</v>
      </c>
      <c r="K6">
        <f t="shared" si="3"/>
        <v>15040.000000003143</v>
      </c>
      <c r="M6" s="49"/>
      <c r="N6" s="50"/>
      <c r="O6" s="53"/>
      <c r="P6" s="54"/>
    </row>
    <row r="7" spans="1:20" x14ac:dyDescent="0.2">
      <c r="A7">
        <v>4</v>
      </c>
      <c r="B7" s="36">
        <v>4.9999999999998934E-3</v>
      </c>
      <c r="C7" s="36">
        <v>1.7600000000000051</v>
      </c>
      <c r="D7">
        <v>0.95000000000000284</v>
      </c>
      <c r="F7">
        <v>4</v>
      </c>
      <c r="G7">
        <f>ABS(B7*$P$3)</f>
        <v>99999.999999997875</v>
      </c>
      <c r="H7">
        <f t="shared" si="0"/>
        <v>887040.00000000256</v>
      </c>
      <c r="I7">
        <f t="shared" si="1"/>
        <v>478800.0000000014</v>
      </c>
      <c r="J7">
        <f t="shared" si="2"/>
        <v>787040.00000000466</v>
      </c>
      <c r="K7">
        <f t="shared" si="3"/>
        <v>378800.00000000349</v>
      </c>
      <c r="M7" s="50" t="s">
        <v>65</v>
      </c>
      <c r="N7" s="50"/>
      <c r="O7" s="50"/>
      <c r="P7" s="55">
        <f>CORREL(B4:B62,C4:C62)*(_xlfn.STDEV.S(B4:B62)/STDEV(C4:C62))</f>
        <v>2.3353444412247376E-2</v>
      </c>
    </row>
    <row r="8" spans="1:20" x14ac:dyDescent="0.2">
      <c r="A8">
        <v>5</v>
      </c>
      <c r="B8" s="36">
        <v>4.5999999999999819E-2</v>
      </c>
      <c r="C8" s="36">
        <v>6.4500000000000028</v>
      </c>
      <c r="D8">
        <v>4.039999999999992</v>
      </c>
      <c r="F8">
        <v>5</v>
      </c>
      <c r="G8">
        <f>ABS(B8*$P$3)</f>
        <v>919999.99999999639</v>
      </c>
      <c r="H8">
        <f t="shared" si="0"/>
        <v>3250800.0000000014</v>
      </c>
      <c r="I8">
        <f>ABS(D8*$P$5*12)</f>
        <v>2036159.9999999963</v>
      </c>
      <c r="J8">
        <f t="shared" si="2"/>
        <v>2330800.0000000051</v>
      </c>
      <c r="K8">
        <f t="shared" si="3"/>
        <v>1116160</v>
      </c>
      <c r="M8" s="49" t="s">
        <v>66</v>
      </c>
      <c r="N8" s="50"/>
      <c r="O8" s="51" t="s">
        <v>58</v>
      </c>
      <c r="P8" s="56">
        <f>ABS((P3*P7)/P5)</f>
        <v>11.120687815355893</v>
      </c>
    </row>
    <row r="9" spans="1:20" x14ac:dyDescent="0.2">
      <c r="A9">
        <v>6</v>
      </c>
      <c r="B9" s="36">
        <v>0.1080000000000001</v>
      </c>
      <c r="C9" s="36">
        <v>7.730000000000004</v>
      </c>
      <c r="D9">
        <v>4.7900000000000063</v>
      </c>
      <c r="F9">
        <v>6</v>
      </c>
      <c r="G9">
        <f>ABS(B9*$P$3)</f>
        <v>2160000.0000000019</v>
      </c>
      <c r="H9">
        <f t="shared" si="0"/>
        <v>3895920.0000000019</v>
      </c>
      <c r="I9">
        <f t="shared" si="1"/>
        <v>2414160.0000000033</v>
      </c>
      <c r="J9">
        <f t="shared" si="2"/>
        <v>1735920</v>
      </c>
      <c r="K9">
        <f t="shared" si="3"/>
        <v>254160.0000000014</v>
      </c>
    </row>
    <row r="10" spans="1:20" ht="17" thickBot="1" x14ac:dyDescent="0.25">
      <c r="A10">
        <v>7</v>
      </c>
      <c r="B10" s="36">
        <v>6.3000000000000167E-2</v>
      </c>
      <c r="C10" s="36">
        <v>4.2199999999999989</v>
      </c>
      <c r="D10">
        <v>4.7199999999999989</v>
      </c>
      <c r="F10">
        <v>7</v>
      </c>
      <c r="G10">
        <f>ABS(B10*$P$3)</f>
        <v>1260000.0000000033</v>
      </c>
      <c r="H10">
        <f t="shared" si="0"/>
        <v>2126879.9999999991</v>
      </c>
      <c r="I10">
        <f t="shared" si="1"/>
        <v>2378879.9999999991</v>
      </c>
      <c r="J10">
        <f t="shared" si="2"/>
        <v>866879.99999999581</v>
      </c>
      <c r="K10">
        <f t="shared" si="3"/>
        <v>1118879.9999999958</v>
      </c>
    </row>
    <row r="11" spans="1:20" x14ac:dyDescent="0.2">
      <c r="A11">
        <v>8</v>
      </c>
      <c r="B11" s="36">
        <v>0.15300000000000002</v>
      </c>
      <c r="C11" s="36">
        <v>7.6599999999999966</v>
      </c>
      <c r="D11">
        <v>8.6799999999999926</v>
      </c>
      <c r="F11">
        <v>8</v>
      </c>
      <c r="G11">
        <f>ABS(B11*$P$3)</f>
        <v>3060000.0000000005</v>
      </c>
      <c r="H11">
        <f>ABS(C11*$P$5*12)</f>
        <v>3860639.9999999986</v>
      </c>
      <c r="I11">
        <f t="shared" si="1"/>
        <v>4374719.9999999963</v>
      </c>
      <c r="J11">
        <f t="shared" si="2"/>
        <v>800639.99999999814</v>
      </c>
      <c r="K11">
        <f t="shared" si="3"/>
        <v>1314719.9999999958</v>
      </c>
      <c r="M11" s="31" t="s">
        <v>59</v>
      </c>
      <c r="N11" s="31"/>
      <c r="O11" s="39"/>
      <c r="P11" s="31" t="s">
        <v>81</v>
      </c>
      <c r="Q11" s="31"/>
      <c r="S11" s="31" t="s">
        <v>82</v>
      </c>
      <c r="T11" s="31"/>
    </row>
    <row r="12" spans="1:20" x14ac:dyDescent="0.2">
      <c r="A12">
        <v>9</v>
      </c>
      <c r="B12" s="36">
        <v>0.30400000000000027</v>
      </c>
      <c r="C12" s="36">
        <v>12.519999999999996</v>
      </c>
      <c r="D12">
        <v>8.9000000000000057</v>
      </c>
      <c r="F12">
        <v>9</v>
      </c>
      <c r="G12">
        <f>ABS(B12*$P$3)</f>
        <v>6080000.0000000056</v>
      </c>
      <c r="H12">
        <f t="shared" si="0"/>
        <v>6310079.9999999981</v>
      </c>
      <c r="I12">
        <f>ABS(D12*$P$5*12)</f>
        <v>4485600.0000000028</v>
      </c>
      <c r="J12">
        <f t="shared" si="2"/>
        <v>230079.99999999255</v>
      </c>
      <c r="K12">
        <f t="shared" si="3"/>
        <v>1594400.0000000028</v>
      </c>
      <c r="M12" s="20"/>
      <c r="N12" s="20"/>
      <c r="P12" s="20"/>
      <c r="Q12" s="20"/>
      <c r="S12" s="20"/>
      <c r="T12" s="20"/>
    </row>
    <row r="13" spans="1:20" x14ac:dyDescent="0.2">
      <c r="A13">
        <v>10</v>
      </c>
      <c r="B13" s="36">
        <v>2.4000000000000021E-2</v>
      </c>
      <c r="C13" s="36">
        <v>5.5600000000000023</v>
      </c>
      <c r="D13">
        <v>1.1600000000000108</v>
      </c>
      <c r="F13">
        <v>10</v>
      </c>
      <c r="G13">
        <f>ABS(B13*$P$3)</f>
        <v>480000.00000000041</v>
      </c>
      <c r="H13">
        <f t="shared" si="0"/>
        <v>2802240.0000000009</v>
      </c>
      <c r="I13">
        <f t="shared" si="1"/>
        <v>584640.00000000536</v>
      </c>
      <c r="J13">
        <f t="shared" si="2"/>
        <v>2322240.0000000005</v>
      </c>
      <c r="K13">
        <f t="shared" si="3"/>
        <v>104640.00000000495</v>
      </c>
      <c r="M13" s="20" t="s">
        <v>67</v>
      </c>
      <c r="N13" s="20">
        <v>3465762.7118644067</v>
      </c>
      <c r="P13" s="20" t="s">
        <v>67</v>
      </c>
      <c r="Q13" s="20">
        <v>1171048.1355932211</v>
      </c>
      <c r="S13" s="20" t="s">
        <v>67</v>
      </c>
      <c r="T13" s="20">
        <v>987534.91525423701</v>
      </c>
    </row>
    <row r="14" spans="1:20" x14ac:dyDescent="0.2">
      <c r="A14">
        <v>11</v>
      </c>
      <c r="B14" s="36">
        <v>0.10499999999999998</v>
      </c>
      <c r="C14" s="36">
        <v>7.3500000000000085</v>
      </c>
      <c r="D14">
        <v>4.9700000000000131</v>
      </c>
      <c r="F14">
        <v>11</v>
      </c>
      <c r="G14">
        <f>ABS(B14*$P$3)</f>
        <v>2099999.9999999995</v>
      </c>
      <c r="H14">
        <f t="shared" si="0"/>
        <v>3704400.0000000042</v>
      </c>
      <c r="I14">
        <f t="shared" si="1"/>
        <v>2504880.0000000065</v>
      </c>
      <c r="J14">
        <f t="shared" si="2"/>
        <v>1604400.0000000047</v>
      </c>
      <c r="K14">
        <f t="shared" si="3"/>
        <v>404880.00000000698</v>
      </c>
      <c r="M14" s="20" t="s">
        <v>24</v>
      </c>
      <c r="N14" s="20">
        <v>396060.09699526813</v>
      </c>
      <c r="P14" s="20" t="s">
        <v>24</v>
      </c>
      <c r="Q14" s="20">
        <v>126520.2843651681</v>
      </c>
      <c r="S14" s="20" t="s">
        <v>24</v>
      </c>
      <c r="T14" s="20">
        <v>112813.77872371103</v>
      </c>
    </row>
    <row r="15" spans="1:20" x14ac:dyDescent="0.2">
      <c r="A15">
        <v>12</v>
      </c>
      <c r="B15" s="36">
        <v>0.10099999999999998</v>
      </c>
      <c r="C15" s="36">
        <v>4.2800000000000011</v>
      </c>
      <c r="D15">
        <v>2.1000000000000085</v>
      </c>
      <c r="F15">
        <v>12</v>
      </c>
      <c r="G15">
        <f>ABS(B15*$P$3)</f>
        <v>2019999.9999999995</v>
      </c>
      <c r="H15">
        <f t="shared" si="0"/>
        <v>2157120.0000000009</v>
      </c>
      <c r="I15">
        <f t="shared" si="1"/>
        <v>1058400.0000000044</v>
      </c>
      <c r="J15">
        <f t="shared" si="2"/>
        <v>137120.0000000014</v>
      </c>
      <c r="K15">
        <f t="shared" si="3"/>
        <v>961599.99999999511</v>
      </c>
      <c r="M15" s="20" t="s">
        <v>68</v>
      </c>
      <c r="N15" s="20">
        <v>2900000.0000000047</v>
      </c>
      <c r="P15" s="20" t="s">
        <v>68</v>
      </c>
      <c r="Q15" s="20">
        <v>787040.00000000466</v>
      </c>
      <c r="S15" s="20" t="s">
        <v>68</v>
      </c>
      <c r="T15" s="20">
        <v>866159.99999999336</v>
      </c>
    </row>
    <row r="16" spans="1:20" x14ac:dyDescent="0.2">
      <c r="A16">
        <v>13</v>
      </c>
      <c r="B16" s="36">
        <v>0.34299999999999997</v>
      </c>
      <c r="C16" s="36">
        <v>10.11</v>
      </c>
      <c r="D16">
        <v>9.3200000000000074</v>
      </c>
      <c r="F16">
        <v>13</v>
      </c>
      <c r="G16">
        <f>ABS(B16*$P$3)</f>
        <v>6859999.9999999991</v>
      </c>
      <c r="H16">
        <f>ABS(C16*$P$5*12)</f>
        <v>5095440</v>
      </c>
      <c r="I16">
        <f t="shared" si="1"/>
        <v>4697280.0000000037</v>
      </c>
      <c r="J16">
        <f t="shared" si="2"/>
        <v>1764559.9999999991</v>
      </c>
      <c r="K16">
        <f t="shared" si="3"/>
        <v>2162719.9999999953</v>
      </c>
      <c r="M16" s="20" t="s">
        <v>69</v>
      </c>
      <c r="N16" s="20">
        <v>1680000.0000000014</v>
      </c>
      <c r="P16" s="20" t="s">
        <v>69</v>
      </c>
      <c r="Q16" s="20" t="e">
        <v>#N/A</v>
      </c>
      <c r="S16" s="20" t="s">
        <v>69</v>
      </c>
      <c r="T16" s="20" t="e">
        <v>#N/A</v>
      </c>
    </row>
    <row r="17" spans="1:20" x14ac:dyDescent="0.2">
      <c r="A17">
        <v>14</v>
      </c>
      <c r="B17" s="36">
        <v>0.14599999999999991</v>
      </c>
      <c r="C17" s="36">
        <v>0.23999999999999488</v>
      </c>
      <c r="D17">
        <v>1.4299999999999926</v>
      </c>
      <c r="F17">
        <v>14</v>
      </c>
      <c r="G17">
        <f>ABS(B17*$P$3)</f>
        <v>2919999.9999999981</v>
      </c>
      <c r="H17">
        <f t="shared" si="0"/>
        <v>120959.99999999742</v>
      </c>
      <c r="I17">
        <f t="shared" si="1"/>
        <v>720719.99999999627</v>
      </c>
      <c r="J17">
        <f t="shared" si="2"/>
        <v>2799040.0000000009</v>
      </c>
      <c r="K17">
        <f t="shared" si="3"/>
        <v>2199280.0000000019</v>
      </c>
      <c r="M17" s="23" t="s">
        <v>70</v>
      </c>
      <c r="N17" s="23">
        <v>3042195.3299356322</v>
      </c>
      <c r="P17" s="23" t="s">
        <v>70</v>
      </c>
      <c r="Q17" s="23">
        <v>971820.7442706381</v>
      </c>
      <c r="S17" s="23" t="s">
        <v>70</v>
      </c>
      <c r="T17" s="23">
        <v>866539.07674462302</v>
      </c>
    </row>
    <row r="18" spans="1:20" x14ac:dyDescent="0.2">
      <c r="A18">
        <v>15</v>
      </c>
      <c r="B18" s="36">
        <v>0.26800000000000024</v>
      </c>
      <c r="C18" s="36">
        <v>12.159999999999997</v>
      </c>
      <c r="D18">
        <v>8.7900000000000063</v>
      </c>
      <c r="F18">
        <v>15</v>
      </c>
      <c r="G18">
        <f>ABS(B18*$P$3)</f>
        <v>5360000.0000000047</v>
      </c>
      <c r="H18">
        <f t="shared" si="0"/>
        <v>6128639.9999999981</v>
      </c>
      <c r="I18">
        <f t="shared" si="1"/>
        <v>4430160.0000000037</v>
      </c>
      <c r="J18">
        <f t="shared" si="2"/>
        <v>768639.99999999348</v>
      </c>
      <c r="K18">
        <f t="shared" si="3"/>
        <v>929840.00000000093</v>
      </c>
      <c r="M18" s="20" t="s">
        <v>71</v>
      </c>
      <c r="N18" s="20">
        <v>9254952425482.1699</v>
      </c>
      <c r="P18" s="20" t="s">
        <v>71</v>
      </c>
      <c r="Q18" s="20">
        <v>944435558994.73706</v>
      </c>
      <c r="S18" s="20" t="s">
        <v>71</v>
      </c>
      <c r="T18" s="20">
        <v>750889971525.42358</v>
      </c>
    </row>
    <row r="19" spans="1:20" x14ac:dyDescent="0.2">
      <c r="A19">
        <v>16</v>
      </c>
      <c r="B19" s="36">
        <v>0.40700000000000003</v>
      </c>
      <c r="C19" s="36">
        <v>13.649999999999991</v>
      </c>
      <c r="D19">
        <v>16.72999999999999</v>
      </c>
      <c r="F19">
        <v>16</v>
      </c>
      <c r="G19">
        <f>ABS(B19*$P$3)</f>
        <v>8140000.0000000009</v>
      </c>
      <c r="H19">
        <f t="shared" si="0"/>
        <v>6879599.9999999963</v>
      </c>
      <c r="I19">
        <f t="shared" si="1"/>
        <v>8431919.9999999944</v>
      </c>
      <c r="J19">
        <f t="shared" si="2"/>
        <v>1260400.0000000047</v>
      </c>
      <c r="K19">
        <f t="shared" si="3"/>
        <v>291919.99999999348</v>
      </c>
      <c r="M19" s="20" t="s">
        <v>72</v>
      </c>
      <c r="N19" s="20">
        <v>9.356814192925512</v>
      </c>
      <c r="P19" s="20" t="s">
        <v>72</v>
      </c>
      <c r="Q19" s="20">
        <v>0.79418201982862735</v>
      </c>
      <c r="S19" s="20" t="s">
        <v>72</v>
      </c>
      <c r="T19" s="20">
        <v>4.0339330093857733</v>
      </c>
    </row>
    <row r="20" spans="1:20" x14ac:dyDescent="0.2">
      <c r="A20">
        <v>17</v>
      </c>
      <c r="B20" s="36">
        <v>0.28399999999999936</v>
      </c>
      <c r="C20" s="36">
        <v>12.610000000000014</v>
      </c>
      <c r="D20">
        <v>10.550000000000011</v>
      </c>
      <c r="F20">
        <v>17</v>
      </c>
      <c r="G20">
        <f>ABS(B20*$P$3)</f>
        <v>5679999.999999987</v>
      </c>
      <c r="H20">
        <f t="shared" si="0"/>
        <v>6355440.0000000075</v>
      </c>
      <c r="I20">
        <f t="shared" si="1"/>
        <v>5317200.0000000056</v>
      </c>
      <c r="J20">
        <f t="shared" si="2"/>
        <v>675440.00000002049</v>
      </c>
      <c r="K20">
        <f t="shared" si="3"/>
        <v>362799.99999998137</v>
      </c>
      <c r="M20" s="20" t="s">
        <v>73</v>
      </c>
      <c r="N20" s="20">
        <v>2.3674561523169562</v>
      </c>
      <c r="P20" s="20" t="s">
        <v>73</v>
      </c>
      <c r="Q20" s="20">
        <v>1.2147008391166099</v>
      </c>
      <c r="S20" s="20" t="s">
        <v>73</v>
      </c>
      <c r="T20" s="20">
        <v>1.63766748622863</v>
      </c>
    </row>
    <row r="21" spans="1:20" x14ac:dyDescent="0.2">
      <c r="A21">
        <v>18</v>
      </c>
      <c r="B21" s="36">
        <v>0.46599999999999975</v>
      </c>
      <c r="C21" s="36">
        <v>15.790000000000006</v>
      </c>
      <c r="D21">
        <v>14.300000000000011</v>
      </c>
      <c r="F21">
        <v>18</v>
      </c>
      <c r="G21">
        <f>ABS(B21*$P$3)</f>
        <v>9319999.9999999944</v>
      </c>
      <c r="H21">
        <f t="shared" si="0"/>
        <v>7958160.0000000028</v>
      </c>
      <c r="I21">
        <f t="shared" si="1"/>
        <v>7207200.0000000056</v>
      </c>
      <c r="J21">
        <f t="shared" si="2"/>
        <v>1361839.9999999916</v>
      </c>
      <c r="K21">
        <f t="shared" si="3"/>
        <v>2112799.9999999888</v>
      </c>
      <c r="M21" s="20" t="s">
        <v>74</v>
      </c>
      <c r="N21" s="20">
        <v>18460000.000000004</v>
      </c>
      <c r="P21" s="20" t="s">
        <v>74</v>
      </c>
      <c r="Q21" s="20">
        <v>4070399.9999999935</v>
      </c>
      <c r="S21" s="20" t="s">
        <v>74</v>
      </c>
      <c r="T21" s="20">
        <v>4581760.0000000084</v>
      </c>
    </row>
    <row r="22" spans="1:20" x14ac:dyDescent="0.2">
      <c r="A22">
        <v>19</v>
      </c>
      <c r="B22" s="36">
        <v>0.25800000000000001</v>
      </c>
      <c r="C22" s="36">
        <v>8.6200000000000045</v>
      </c>
      <c r="D22">
        <v>10.61</v>
      </c>
      <c r="F22">
        <v>19</v>
      </c>
      <c r="G22">
        <f>ABS(B22*$P$3)</f>
        <v>5160000</v>
      </c>
      <c r="H22">
        <f t="shared" si="0"/>
        <v>4344480.0000000019</v>
      </c>
      <c r="I22">
        <f t="shared" si="1"/>
        <v>5347440</v>
      </c>
      <c r="J22">
        <f t="shared" si="2"/>
        <v>815519.99999999814</v>
      </c>
      <c r="K22">
        <f t="shared" si="3"/>
        <v>187440</v>
      </c>
      <c r="M22" s="20" t="s">
        <v>75</v>
      </c>
      <c r="N22" s="20">
        <v>99999.999999997875</v>
      </c>
      <c r="P22" s="20" t="s">
        <v>75</v>
      </c>
      <c r="Q22" s="20">
        <v>13040.000000005006</v>
      </c>
      <c r="S22" s="20" t="s">
        <v>75</v>
      </c>
      <c r="T22" s="20">
        <v>3119.9999999916181</v>
      </c>
    </row>
    <row r="23" spans="1:20" x14ac:dyDescent="0.2">
      <c r="A23">
        <v>20</v>
      </c>
      <c r="B23" s="36">
        <v>0.27400000000000002</v>
      </c>
      <c r="C23" s="36">
        <v>14.849999999999994</v>
      </c>
      <c r="D23">
        <v>19.97</v>
      </c>
      <c r="F23">
        <v>20</v>
      </c>
      <c r="G23">
        <f>ABS(B23*$P$3)</f>
        <v>5480000</v>
      </c>
      <c r="H23">
        <f t="shared" si="0"/>
        <v>7484399.9999999972</v>
      </c>
      <c r="I23">
        <f t="shared" si="1"/>
        <v>10064880</v>
      </c>
      <c r="J23">
        <f t="shared" si="2"/>
        <v>2004399.9999999972</v>
      </c>
      <c r="K23">
        <f t="shared" si="3"/>
        <v>4584880</v>
      </c>
      <c r="M23" s="20" t="s">
        <v>76</v>
      </c>
      <c r="N23" s="20">
        <v>18560000</v>
      </c>
      <c r="P23" s="20" t="s">
        <v>76</v>
      </c>
      <c r="Q23" s="20">
        <v>4083439.9999999986</v>
      </c>
      <c r="S23" s="20" t="s">
        <v>76</v>
      </c>
      <c r="T23" s="20">
        <v>4584880</v>
      </c>
    </row>
    <row r="24" spans="1:20" x14ac:dyDescent="0.2">
      <c r="A24">
        <v>21</v>
      </c>
      <c r="B24" s="36">
        <v>0.92799999999999994</v>
      </c>
      <c r="C24" s="36">
        <v>32.600000000000009</v>
      </c>
      <c r="D24">
        <v>33.519999999999996</v>
      </c>
      <c r="F24">
        <v>21</v>
      </c>
      <c r="G24">
        <f>ABS(B24*$P$3)</f>
        <v>18560000</v>
      </c>
      <c r="H24">
        <f t="shared" si="0"/>
        <v>16430400.000000006</v>
      </c>
      <c r="I24">
        <f t="shared" si="1"/>
        <v>16894079.999999996</v>
      </c>
      <c r="J24">
        <f t="shared" si="2"/>
        <v>2129599.9999999944</v>
      </c>
      <c r="K24">
        <f t="shared" si="3"/>
        <v>1665920.0000000037</v>
      </c>
      <c r="M24" s="20" t="s">
        <v>77</v>
      </c>
      <c r="N24" s="20">
        <v>204480000</v>
      </c>
      <c r="P24" s="20" t="s">
        <v>77</v>
      </c>
      <c r="Q24" s="20">
        <v>69091840.000000045</v>
      </c>
      <c r="S24" s="20" t="s">
        <v>77</v>
      </c>
      <c r="T24" s="20">
        <v>58264559.999999985</v>
      </c>
    </row>
    <row r="25" spans="1:20" ht="17" thickBot="1" x14ac:dyDescent="0.25">
      <c r="A25">
        <v>22</v>
      </c>
      <c r="B25" s="36">
        <v>0.33399999999999985</v>
      </c>
      <c r="C25" s="36">
        <v>12.889999999999993</v>
      </c>
      <c r="D25">
        <v>12.280000000000001</v>
      </c>
      <c r="F25">
        <v>22</v>
      </c>
      <c r="G25">
        <f>ABS(B25*$P$3)</f>
        <v>6679999.9999999972</v>
      </c>
      <c r="H25">
        <f t="shared" si="0"/>
        <v>6496559.9999999972</v>
      </c>
      <c r="I25">
        <f t="shared" si="1"/>
        <v>6189120.0000000009</v>
      </c>
      <c r="J25">
        <f t="shared" si="2"/>
        <v>183440</v>
      </c>
      <c r="K25">
        <f t="shared" si="3"/>
        <v>490879.99999999627</v>
      </c>
      <c r="M25" s="21" t="s">
        <v>78</v>
      </c>
      <c r="N25" s="21">
        <v>59</v>
      </c>
      <c r="P25" s="21" t="s">
        <v>78</v>
      </c>
      <c r="Q25" s="21">
        <v>59</v>
      </c>
      <c r="S25" s="21" t="s">
        <v>78</v>
      </c>
      <c r="T25" s="21">
        <v>59</v>
      </c>
    </row>
    <row r="26" spans="1:20" ht="17" thickBot="1" x14ac:dyDescent="0.25">
      <c r="A26">
        <v>23</v>
      </c>
      <c r="B26" s="36">
        <v>0.43999999999999995</v>
      </c>
      <c r="C26" s="36">
        <v>10.61</v>
      </c>
      <c r="D26">
        <v>11.899999999999999</v>
      </c>
      <c r="F26">
        <v>23</v>
      </c>
      <c r="G26">
        <f>ABS(B26*$P$3)</f>
        <v>8799999.9999999981</v>
      </c>
      <c r="H26">
        <f t="shared" si="0"/>
        <v>5347440</v>
      </c>
      <c r="I26">
        <f t="shared" si="1"/>
        <v>5997599.9999999991</v>
      </c>
      <c r="J26">
        <f t="shared" si="2"/>
        <v>3452559.9999999981</v>
      </c>
      <c r="K26">
        <f t="shared" si="3"/>
        <v>2802399.9999999991</v>
      </c>
    </row>
    <row r="27" spans="1:20" ht="17" x14ac:dyDescent="0.2">
      <c r="A27">
        <v>24</v>
      </c>
      <c r="B27" s="36">
        <v>9.5999999999999863E-2</v>
      </c>
      <c r="C27" s="36">
        <v>2.8700000000000045</v>
      </c>
      <c r="D27">
        <v>8.3500000000000014</v>
      </c>
      <c r="F27">
        <v>24</v>
      </c>
      <c r="G27">
        <f>ABS(B27*$P$3)</f>
        <v>1919999.9999999972</v>
      </c>
      <c r="H27">
        <f t="shared" si="0"/>
        <v>1446480.0000000023</v>
      </c>
      <c r="I27">
        <f t="shared" si="1"/>
        <v>4208400.0000000009</v>
      </c>
      <c r="J27">
        <f t="shared" si="2"/>
        <v>473519.99999999488</v>
      </c>
      <c r="K27">
        <f t="shared" si="3"/>
        <v>2288400.0000000037</v>
      </c>
      <c r="M27" s="32"/>
      <c r="N27" s="32" t="s">
        <v>59</v>
      </c>
      <c r="O27" s="32" t="s">
        <v>61</v>
      </c>
      <c r="P27" s="57" t="s">
        <v>80</v>
      </c>
      <c r="Q27" s="32"/>
    </row>
    <row r="28" spans="1:20" x14ac:dyDescent="0.2">
      <c r="A28">
        <v>25</v>
      </c>
      <c r="B28" s="36">
        <v>0.15100000000000002</v>
      </c>
      <c r="C28" s="36">
        <v>2.4200000000000017</v>
      </c>
      <c r="D28">
        <v>0.23999999999999488</v>
      </c>
      <c r="F28">
        <v>25</v>
      </c>
      <c r="G28">
        <f>ABS(B28*$P$3)</f>
        <v>3020000.0000000005</v>
      </c>
      <c r="H28">
        <f t="shared" si="0"/>
        <v>1219680.0000000009</v>
      </c>
      <c r="I28">
        <f t="shared" si="1"/>
        <v>120959.99999999742</v>
      </c>
      <c r="J28">
        <f t="shared" si="2"/>
        <v>1800319.9999999995</v>
      </c>
      <c r="K28">
        <f t="shared" si="3"/>
        <v>2899040.0000000033</v>
      </c>
      <c r="M28" s="20" t="s">
        <v>67</v>
      </c>
      <c r="N28" s="20">
        <v>3465762.7118644067</v>
      </c>
      <c r="O28" s="20">
        <v>1171048.1355932211</v>
      </c>
      <c r="P28" s="20">
        <v>987534.91525423701</v>
      </c>
    </row>
    <row r="29" spans="1:20" x14ac:dyDescent="0.2">
      <c r="A29">
        <v>26</v>
      </c>
      <c r="B29" s="36">
        <v>7.6000000000000068E-2</v>
      </c>
      <c r="C29" s="36">
        <v>5.490000000000002</v>
      </c>
      <c r="D29">
        <v>1.720000000000006</v>
      </c>
      <c r="F29">
        <v>26</v>
      </c>
      <c r="G29">
        <f>ABS(B29*$P$3)</f>
        <v>1520000.0000000014</v>
      </c>
      <c r="H29">
        <f t="shared" si="0"/>
        <v>2766960.0000000009</v>
      </c>
      <c r="I29">
        <f t="shared" si="1"/>
        <v>866880.00000000303</v>
      </c>
      <c r="J29">
        <f t="shared" si="2"/>
        <v>1246959.9999999995</v>
      </c>
      <c r="K29">
        <f t="shared" si="3"/>
        <v>653119.99999999837</v>
      </c>
      <c r="M29" s="20" t="s">
        <v>70</v>
      </c>
      <c r="N29" s="20">
        <v>3042195.3299356322</v>
      </c>
      <c r="O29" s="20">
        <v>971820.7442706381</v>
      </c>
      <c r="P29" s="20">
        <v>866539.07674462302</v>
      </c>
    </row>
    <row r="30" spans="1:20" x14ac:dyDescent="0.2">
      <c r="A30">
        <v>27</v>
      </c>
      <c r="B30" s="36">
        <v>4.6999999999999931E-2</v>
      </c>
      <c r="C30" s="36">
        <v>0.71000000000000085</v>
      </c>
      <c r="D30">
        <v>4.1699999999999946</v>
      </c>
      <c r="F30">
        <v>27</v>
      </c>
      <c r="G30">
        <f>ABS(B30*$P$3)</f>
        <v>939999.9999999986</v>
      </c>
      <c r="H30">
        <f t="shared" si="0"/>
        <v>357840.00000000047</v>
      </c>
      <c r="I30">
        <f t="shared" si="1"/>
        <v>2101679.9999999972</v>
      </c>
      <c r="J30">
        <f t="shared" si="2"/>
        <v>582159.99999999814</v>
      </c>
      <c r="K30">
        <f t="shared" si="3"/>
        <v>1161679.9999999986</v>
      </c>
      <c r="M30" s="20" t="s">
        <v>75</v>
      </c>
      <c r="N30" s="20">
        <v>99999.999999997875</v>
      </c>
      <c r="O30" s="20">
        <v>13040.000000005006</v>
      </c>
      <c r="P30" s="20">
        <v>3119.9999999916181</v>
      </c>
    </row>
    <row r="31" spans="1:20" x14ac:dyDescent="0.2">
      <c r="A31">
        <v>28</v>
      </c>
      <c r="B31" s="36">
        <v>0.37799999999999989</v>
      </c>
      <c r="C31" s="36">
        <v>15.96</v>
      </c>
      <c r="D31">
        <v>14.680000000000007</v>
      </c>
      <c r="F31">
        <v>28</v>
      </c>
      <c r="G31">
        <f>ABS(B31*$P$3)</f>
        <v>7559999.9999999981</v>
      </c>
      <c r="H31">
        <f t="shared" si="0"/>
        <v>8043840</v>
      </c>
      <c r="I31">
        <f t="shared" si="1"/>
        <v>7398720.0000000028</v>
      </c>
      <c r="J31">
        <f t="shared" si="2"/>
        <v>483840.00000000186</v>
      </c>
      <c r="K31">
        <f t="shared" si="3"/>
        <v>161279.99999999534</v>
      </c>
      <c r="M31" s="20" t="s">
        <v>76</v>
      </c>
      <c r="N31" s="20">
        <v>18560000</v>
      </c>
      <c r="O31" s="20">
        <v>4083439.9999999986</v>
      </c>
      <c r="P31" s="20">
        <v>4584880</v>
      </c>
    </row>
    <row r="32" spans="1:20" x14ac:dyDescent="0.2">
      <c r="A32">
        <v>29</v>
      </c>
      <c r="B32" s="36">
        <v>0.1160000000000001</v>
      </c>
      <c r="C32" s="36">
        <v>3.5099999999999909</v>
      </c>
      <c r="D32">
        <v>3.1299999999999955</v>
      </c>
      <c r="F32">
        <v>29</v>
      </c>
      <c r="G32">
        <f>ABS(B32*$P$3)</f>
        <v>2320000.0000000019</v>
      </c>
      <c r="H32">
        <f t="shared" si="0"/>
        <v>1769039.9999999953</v>
      </c>
      <c r="I32">
        <f t="shared" si="1"/>
        <v>1577519.9999999977</v>
      </c>
      <c r="J32">
        <f t="shared" si="2"/>
        <v>550960.00000000652</v>
      </c>
      <c r="K32">
        <f t="shared" si="3"/>
        <v>742480.00000000419</v>
      </c>
      <c r="M32" s="20" t="s">
        <v>77</v>
      </c>
      <c r="N32" s="20">
        <v>204480000</v>
      </c>
      <c r="O32" s="20">
        <v>69091840.000000045</v>
      </c>
      <c r="P32" s="20">
        <v>58264559.999999985</v>
      </c>
    </row>
    <row r="33" spans="1:11" x14ac:dyDescent="0.2">
      <c r="A33">
        <v>30</v>
      </c>
      <c r="B33" s="36">
        <v>4.2999999999999927E-2</v>
      </c>
      <c r="C33" s="36">
        <v>0.55999999999998806</v>
      </c>
      <c r="D33">
        <v>1.9699999999999989</v>
      </c>
      <c r="F33">
        <v>30</v>
      </c>
      <c r="G33">
        <f>ABS(B33*$P$3)</f>
        <v>859999.99999999849</v>
      </c>
      <c r="H33">
        <f t="shared" si="0"/>
        <v>282239.99999999395</v>
      </c>
      <c r="I33">
        <f t="shared" si="1"/>
        <v>992879.99999999953</v>
      </c>
      <c r="J33">
        <f t="shared" si="2"/>
        <v>577760.00000000454</v>
      </c>
      <c r="K33">
        <f t="shared" si="3"/>
        <v>132880.00000000105</v>
      </c>
    </row>
    <row r="34" spans="1:11" x14ac:dyDescent="0.2">
      <c r="A34">
        <v>31</v>
      </c>
      <c r="B34" s="36">
        <v>5.0000000000000044E-2</v>
      </c>
      <c r="C34" s="36">
        <v>0.70999999999999375</v>
      </c>
      <c r="D34">
        <v>1.0600000000000023</v>
      </c>
      <c r="F34">
        <v>31</v>
      </c>
      <c r="G34">
        <f>ABS(B34*$P$3)</f>
        <v>1000000.0000000009</v>
      </c>
      <c r="H34">
        <f t="shared" si="0"/>
        <v>357839.99999999686</v>
      </c>
      <c r="I34">
        <f t="shared" si="1"/>
        <v>534240.00000000116</v>
      </c>
      <c r="J34">
        <f t="shared" si="2"/>
        <v>642160.00000000407</v>
      </c>
      <c r="K34">
        <f t="shared" si="3"/>
        <v>465759.99999999977</v>
      </c>
    </row>
    <row r="35" spans="1:11" x14ac:dyDescent="0.2">
      <c r="A35">
        <v>32</v>
      </c>
      <c r="B35" s="36">
        <v>1.3000000000000123E-2</v>
      </c>
      <c r="C35" s="36">
        <v>0.48999999999999488</v>
      </c>
      <c r="D35">
        <v>3.2000000000000028</v>
      </c>
      <c r="F35">
        <v>32</v>
      </c>
      <c r="G35">
        <f>ABS(B35*$P$3)</f>
        <v>260000.00000000244</v>
      </c>
      <c r="H35">
        <f t="shared" si="0"/>
        <v>246959.99999999744</v>
      </c>
      <c r="I35">
        <f t="shared" si="1"/>
        <v>1612800.0000000014</v>
      </c>
      <c r="J35">
        <f t="shared" si="2"/>
        <v>13040.000000005006</v>
      </c>
      <c r="K35">
        <f t="shared" si="3"/>
        <v>1352799.9999999991</v>
      </c>
    </row>
    <row r="36" spans="1:11" x14ac:dyDescent="0.2">
      <c r="A36">
        <v>33</v>
      </c>
      <c r="B36" s="36">
        <v>0.18199999999999994</v>
      </c>
      <c r="C36" s="36">
        <v>6.5800000000000125</v>
      </c>
      <c r="D36">
        <v>9.0900000000000034</v>
      </c>
      <c r="F36">
        <v>33</v>
      </c>
      <c r="G36">
        <f>ABS(B36*$P$3)</f>
        <v>3639999.9999999986</v>
      </c>
      <c r="H36">
        <f t="shared" si="0"/>
        <v>3316320.0000000065</v>
      </c>
      <c r="I36">
        <f t="shared" si="1"/>
        <v>4581360.0000000019</v>
      </c>
      <c r="J36">
        <f t="shared" si="2"/>
        <v>323679.99999999208</v>
      </c>
      <c r="K36">
        <f t="shared" si="3"/>
        <v>941360.00000000326</v>
      </c>
    </row>
    <row r="37" spans="1:11" x14ac:dyDescent="0.2">
      <c r="A37">
        <v>34</v>
      </c>
      <c r="B37" s="36">
        <v>2.8000000000000025E-2</v>
      </c>
      <c r="C37" s="36">
        <v>0.14999999999999147</v>
      </c>
      <c r="D37">
        <v>2.8599999999999994</v>
      </c>
      <c r="F37">
        <v>34</v>
      </c>
      <c r="G37">
        <f>ABS(B37*$P$3)</f>
        <v>560000.00000000047</v>
      </c>
      <c r="H37">
        <f t="shared" si="0"/>
        <v>75599.999999995693</v>
      </c>
      <c r="I37">
        <f t="shared" si="1"/>
        <v>1441439.9999999995</v>
      </c>
      <c r="J37">
        <f t="shared" si="2"/>
        <v>484400.00000000477</v>
      </c>
      <c r="K37">
        <f t="shared" si="3"/>
        <v>881439.99999999907</v>
      </c>
    </row>
    <row r="38" spans="1:11" x14ac:dyDescent="0.2">
      <c r="A38">
        <v>35</v>
      </c>
      <c r="B38" s="36">
        <v>8.4000000000000075E-2</v>
      </c>
      <c r="C38" s="36">
        <v>2.2000000000000028</v>
      </c>
      <c r="D38">
        <v>0.14000000000000057</v>
      </c>
      <c r="F38">
        <v>35</v>
      </c>
      <c r="G38">
        <f>ABS(B38*$P$3)</f>
        <v>1680000.0000000014</v>
      </c>
      <c r="H38">
        <f t="shared" si="0"/>
        <v>1108800.0000000014</v>
      </c>
      <c r="I38">
        <f t="shared" si="1"/>
        <v>70560.000000000291</v>
      </c>
      <c r="J38">
        <f t="shared" si="2"/>
        <v>571200</v>
      </c>
      <c r="K38">
        <f t="shared" si="3"/>
        <v>1609440.0000000012</v>
      </c>
    </row>
    <row r="39" spans="1:11" x14ac:dyDescent="0.2">
      <c r="A39">
        <v>36</v>
      </c>
      <c r="B39" s="36">
        <v>0.17800000000000016</v>
      </c>
      <c r="C39" s="36">
        <v>6.5400000000000063</v>
      </c>
      <c r="D39">
        <v>6.7099999999999937</v>
      </c>
      <c r="F39">
        <v>36</v>
      </c>
      <c r="G39">
        <f>ABS(B39*$P$3)</f>
        <v>3560000.0000000033</v>
      </c>
      <c r="H39">
        <f t="shared" si="0"/>
        <v>3296160.0000000037</v>
      </c>
      <c r="I39">
        <f t="shared" si="1"/>
        <v>3381839.9999999963</v>
      </c>
      <c r="J39">
        <f t="shared" si="2"/>
        <v>263839.99999999953</v>
      </c>
      <c r="K39">
        <f t="shared" si="3"/>
        <v>178160.00000000698</v>
      </c>
    </row>
    <row r="40" spans="1:11" x14ac:dyDescent="0.2">
      <c r="A40">
        <v>37</v>
      </c>
      <c r="B40" s="36">
        <v>0.14500000000000024</v>
      </c>
      <c r="C40" s="36">
        <v>6.8700000000000045</v>
      </c>
      <c r="D40">
        <v>5.1599999999999966</v>
      </c>
      <c r="F40">
        <v>37</v>
      </c>
      <c r="G40">
        <f>ABS(B40*$P$3)</f>
        <v>2900000.0000000047</v>
      </c>
      <c r="H40">
        <f t="shared" si="0"/>
        <v>3462480.0000000019</v>
      </c>
      <c r="I40">
        <f t="shared" si="1"/>
        <v>2600639.9999999981</v>
      </c>
      <c r="J40">
        <f t="shared" si="2"/>
        <v>562479.99999999721</v>
      </c>
      <c r="K40">
        <f t="shared" si="3"/>
        <v>299360.00000000652</v>
      </c>
    </row>
    <row r="41" spans="1:11" x14ac:dyDescent="0.2">
      <c r="A41">
        <v>38</v>
      </c>
      <c r="B41" s="36">
        <v>0.13300000000000001</v>
      </c>
      <c r="C41" s="36">
        <v>3.730000000000004</v>
      </c>
      <c r="D41">
        <v>4.0100000000000051</v>
      </c>
      <c r="F41">
        <v>38</v>
      </c>
      <c r="G41">
        <f>ABS(B41*$P$3)</f>
        <v>2660000</v>
      </c>
      <c r="H41">
        <f t="shared" si="0"/>
        <v>1879920.0000000021</v>
      </c>
      <c r="I41">
        <f t="shared" si="1"/>
        <v>2021040.0000000023</v>
      </c>
      <c r="J41">
        <f t="shared" si="2"/>
        <v>780079.9999999979</v>
      </c>
      <c r="K41">
        <f t="shared" si="3"/>
        <v>638959.99999999767</v>
      </c>
    </row>
    <row r="42" spans="1:11" x14ac:dyDescent="0.2">
      <c r="A42">
        <v>39</v>
      </c>
      <c r="B42" s="36">
        <v>0.13599999999999968</v>
      </c>
      <c r="C42" s="36">
        <v>2.6199999999999903</v>
      </c>
      <c r="D42">
        <v>5.8199999999999932</v>
      </c>
      <c r="F42">
        <v>39</v>
      </c>
      <c r="G42">
        <f>ABS(B42*$P$3)</f>
        <v>2719999.9999999935</v>
      </c>
      <c r="H42">
        <f t="shared" si="0"/>
        <v>1320479.9999999951</v>
      </c>
      <c r="I42">
        <f t="shared" si="1"/>
        <v>2933279.9999999963</v>
      </c>
      <c r="J42">
        <f t="shared" si="2"/>
        <v>1399519.9999999984</v>
      </c>
      <c r="K42">
        <f t="shared" si="3"/>
        <v>213280.00000000279</v>
      </c>
    </row>
    <row r="43" spans="1:11" x14ac:dyDescent="0.2">
      <c r="A43">
        <v>40</v>
      </c>
      <c r="B43" s="36">
        <v>0.2849999999999997</v>
      </c>
      <c r="C43" s="36">
        <v>12.069999999999993</v>
      </c>
      <c r="D43">
        <v>13.189999999999998</v>
      </c>
      <c r="F43">
        <v>40</v>
      </c>
      <c r="G43">
        <f>ABS(B43*$P$3)</f>
        <v>5699999.9999999944</v>
      </c>
      <c r="H43">
        <f t="shared" si="0"/>
        <v>6083279.9999999963</v>
      </c>
      <c r="I43">
        <f t="shared" si="1"/>
        <v>6647759.9999999981</v>
      </c>
      <c r="J43">
        <f t="shared" si="2"/>
        <v>383280.00000000186</v>
      </c>
      <c r="K43">
        <f t="shared" si="3"/>
        <v>947760.00000000373</v>
      </c>
    </row>
    <row r="44" spans="1:11" x14ac:dyDescent="0.2">
      <c r="A44">
        <v>41</v>
      </c>
      <c r="B44" s="36">
        <v>4.6000000000000041E-2</v>
      </c>
      <c r="C44" s="36">
        <v>1.5900000000000034</v>
      </c>
      <c r="D44">
        <v>1.9399999999999977</v>
      </c>
      <c r="F44">
        <v>41</v>
      </c>
      <c r="G44">
        <f>ABS(B44*$P$3)</f>
        <v>920000.00000000081</v>
      </c>
      <c r="H44">
        <f t="shared" si="0"/>
        <v>801360.00000000175</v>
      </c>
      <c r="I44">
        <f t="shared" si="1"/>
        <v>977759.99999999884</v>
      </c>
      <c r="J44">
        <f t="shared" si="2"/>
        <v>118639.99999999907</v>
      </c>
      <c r="K44">
        <f t="shared" si="3"/>
        <v>57759.999999998021</v>
      </c>
    </row>
    <row r="45" spans="1:11" x14ac:dyDescent="0.2">
      <c r="A45">
        <v>42</v>
      </c>
      <c r="B45" s="36">
        <v>9.9999999999999867E-2</v>
      </c>
      <c r="C45" s="36">
        <v>3.2599999999999909</v>
      </c>
      <c r="D45">
        <v>2.5600000000000023</v>
      </c>
      <c r="F45">
        <v>42</v>
      </c>
      <c r="G45">
        <f>ABS(B45*$P$3)</f>
        <v>1999999.9999999974</v>
      </c>
      <c r="H45">
        <f t="shared" si="0"/>
        <v>1643039.9999999953</v>
      </c>
      <c r="I45">
        <f t="shared" si="1"/>
        <v>1290240.0000000012</v>
      </c>
      <c r="J45">
        <f t="shared" si="2"/>
        <v>356960.0000000021</v>
      </c>
      <c r="K45">
        <f t="shared" si="3"/>
        <v>709759.99999999627</v>
      </c>
    </row>
    <row r="46" spans="1:11" x14ac:dyDescent="0.2">
      <c r="A46">
        <v>43</v>
      </c>
      <c r="B46" s="36">
        <v>8.3000000000000185E-2</v>
      </c>
      <c r="C46" s="36">
        <v>6.9199999999999875</v>
      </c>
      <c r="D46">
        <v>1.9899999999999949</v>
      </c>
      <c r="F46">
        <v>43</v>
      </c>
      <c r="G46">
        <f>ABS(B46*$P$3)</f>
        <v>1660000.0000000037</v>
      </c>
      <c r="H46">
        <f t="shared" si="0"/>
        <v>3487679.9999999935</v>
      </c>
      <c r="I46">
        <f t="shared" si="1"/>
        <v>1002959.9999999974</v>
      </c>
      <c r="J46">
        <f t="shared" si="2"/>
        <v>1827679.9999999898</v>
      </c>
      <c r="K46">
        <f t="shared" si="3"/>
        <v>657040.00000000629</v>
      </c>
    </row>
    <row r="47" spans="1:11" x14ac:dyDescent="0.2">
      <c r="A47">
        <v>44</v>
      </c>
      <c r="B47" s="36">
        <v>0.22900000000000009</v>
      </c>
      <c r="C47" s="36">
        <v>8.019999999999996</v>
      </c>
      <c r="D47">
        <v>5.2599999999999909</v>
      </c>
      <c r="F47">
        <v>44</v>
      </c>
      <c r="G47">
        <f>ABS(B47*$P$3)</f>
        <v>4580000.0000000019</v>
      </c>
      <c r="H47">
        <f t="shared" si="0"/>
        <v>4042079.9999999981</v>
      </c>
      <c r="I47">
        <f t="shared" si="1"/>
        <v>2651039.9999999953</v>
      </c>
      <c r="J47">
        <f t="shared" si="2"/>
        <v>537920.00000000373</v>
      </c>
      <c r="K47">
        <f t="shared" si="3"/>
        <v>1928960.0000000065</v>
      </c>
    </row>
    <row r="48" spans="1:11" x14ac:dyDescent="0.2">
      <c r="A48">
        <v>45</v>
      </c>
      <c r="B48" s="36">
        <v>1.4000000000000234E-2</v>
      </c>
      <c r="C48" s="36">
        <v>1.5</v>
      </c>
      <c r="D48">
        <v>1.7000000000000028</v>
      </c>
      <c r="F48">
        <v>45</v>
      </c>
      <c r="G48">
        <f>ABS(B48*$P$3)</f>
        <v>280000.00000000471</v>
      </c>
      <c r="H48">
        <f t="shared" si="0"/>
        <v>756000</v>
      </c>
      <c r="I48">
        <f t="shared" si="1"/>
        <v>856800.0000000014</v>
      </c>
      <c r="J48">
        <f t="shared" si="2"/>
        <v>475999.99999999529</v>
      </c>
      <c r="K48">
        <f t="shared" si="3"/>
        <v>576799.99999999674</v>
      </c>
    </row>
    <row r="49" spans="1:11" x14ac:dyDescent="0.2">
      <c r="A49">
        <v>46</v>
      </c>
      <c r="B49" s="36">
        <v>3.7999999999999812E-2</v>
      </c>
      <c r="C49" s="36">
        <v>2.6700000000000017</v>
      </c>
      <c r="D49">
        <v>3.5499999999999972</v>
      </c>
      <c r="F49">
        <v>46</v>
      </c>
      <c r="G49">
        <f>ABS(B49*$P$3)</f>
        <v>759999.99999999627</v>
      </c>
      <c r="H49">
        <f t="shared" si="0"/>
        <v>1345680.0000000009</v>
      </c>
      <c r="I49">
        <f t="shared" si="1"/>
        <v>1789199.9999999986</v>
      </c>
      <c r="J49">
        <f t="shared" si="2"/>
        <v>585680.00000000466</v>
      </c>
      <c r="K49">
        <f t="shared" si="3"/>
        <v>1029200.0000000023</v>
      </c>
    </row>
    <row r="50" spans="1:11" x14ac:dyDescent="0.2">
      <c r="A50">
        <v>47</v>
      </c>
      <c r="B50" s="36">
        <v>0.2370000000000001</v>
      </c>
      <c r="C50" s="36">
        <v>7.2599999999999909</v>
      </c>
      <c r="D50">
        <v>7.210000000000008</v>
      </c>
      <c r="F50">
        <v>47</v>
      </c>
      <c r="G50">
        <f>ABS(B50*$P$3)</f>
        <v>4740000.0000000019</v>
      </c>
      <c r="H50">
        <f t="shared" si="0"/>
        <v>3659039.9999999953</v>
      </c>
      <c r="I50">
        <f t="shared" si="1"/>
        <v>3633840.0000000042</v>
      </c>
      <c r="J50">
        <f t="shared" si="2"/>
        <v>1080960.0000000065</v>
      </c>
      <c r="K50">
        <f t="shared" si="3"/>
        <v>1106159.9999999977</v>
      </c>
    </row>
    <row r="51" spans="1:11" x14ac:dyDescent="0.2">
      <c r="A51">
        <v>48</v>
      </c>
      <c r="B51" s="36">
        <v>0.21399999999999997</v>
      </c>
      <c r="C51" s="36">
        <v>0.39000000000000057</v>
      </c>
      <c r="D51">
        <v>5.7399999999999949</v>
      </c>
      <c r="F51">
        <v>48</v>
      </c>
      <c r="G51">
        <f>ABS(B51*$P$3)</f>
        <v>4279999.9999999991</v>
      </c>
      <c r="H51">
        <f t="shared" si="0"/>
        <v>196560.00000000029</v>
      </c>
      <c r="I51">
        <f t="shared" si="1"/>
        <v>2892959.9999999977</v>
      </c>
      <c r="J51">
        <f t="shared" si="2"/>
        <v>4083439.9999999986</v>
      </c>
      <c r="K51">
        <f t="shared" si="3"/>
        <v>1387040.0000000014</v>
      </c>
    </row>
    <row r="52" spans="1:11" x14ac:dyDescent="0.2">
      <c r="A52">
        <v>49</v>
      </c>
      <c r="B52" s="36">
        <v>0.25600000000000023</v>
      </c>
      <c r="C52" s="36">
        <v>6.1099999999999994</v>
      </c>
      <c r="D52">
        <v>13.299999999999997</v>
      </c>
      <c r="F52">
        <v>49</v>
      </c>
      <c r="G52">
        <f>ABS(B52*$P$3)</f>
        <v>5120000.0000000047</v>
      </c>
      <c r="H52">
        <f t="shared" si="0"/>
        <v>3079439.9999999995</v>
      </c>
      <c r="I52">
        <f t="shared" si="1"/>
        <v>6703199.9999999981</v>
      </c>
      <c r="J52">
        <f t="shared" si="2"/>
        <v>2040560.0000000051</v>
      </c>
      <c r="K52">
        <f t="shared" si="3"/>
        <v>1583199.9999999935</v>
      </c>
    </row>
    <row r="53" spans="1:11" x14ac:dyDescent="0.2">
      <c r="A53">
        <v>50</v>
      </c>
      <c r="B53" s="36">
        <v>0.16299999999999981</v>
      </c>
      <c r="C53" s="36">
        <v>9.0900000000000034</v>
      </c>
      <c r="D53">
        <v>4.6700000000000017</v>
      </c>
      <c r="F53">
        <v>50</v>
      </c>
      <c r="G53">
        <f>ABS(B53*$P$3)</f>
        <v>3259999.9999999963</v>
      </c>
      <c r="H53">
        <f t="shared" si="0"/>
        <v>4581360.0000000019</v>
      </c>
      <c r="I53">
        <f t="shared" si="1"/>
        <v>2353680.0000000009</v>
      </c>
      <c r="J53">
        <f t="shared" si="2"/>
        <v>1321360.0000000056</v>
      </c>
      <c r="K53">
        <f t="shared" si="3"/>
        <v>906319.99999999534</v>
      </c>
    </row>
    <row r="54" spans="1:11" x14ac:dyDescent="0.2">
      <c r="A54">
        <v>51</v>
      </c>
      <c r="B54" s="36">
        <v>0.20699999999999985</v>
      </c>
      <c r="C54" s="36">
        <v>7.2000000000000028</v>
      </c>
      <c r="D54">
        <v>9.6500000000000057</v>
      </c>
      <c r="F54">
        <v>51</v>
      </c>
      <c r="G54">
        <f>ABS(B54*$P$3)</f>
        <v>4139999.9999999972</v>
      </c>
      <c r="H54">
        <f t="shared" si="0"/>
        <v>3628800.0000000014</v>
      </c>
      <c r="I54">
        <f t="shared" si="1"/>
        <v>4863600.0000000028</v>
      </c>
      <c r="J54">
        <f t="shared" si="2"/>
        <v>511199.99999999581</v>
      </c>
      <c r="K54">
        <f t="shared" si="3"/>
        <v>723600.00000000559</v>
      </c>
    </row>
    <row r="55" spans="1:11" x14ac:dyDescent="0.2">
      <c r="A55">
        <v>52</v>
      </c>
      <c r="B55" s="36">
        <v>0.23399999999999999</v>
      </c>
      <c r="C55" s="36">
        <v>10.689999999999998</v>
      </c>
      <c r="D55">
        <v>9.4099999999999966</v>
      </c>
      <c r="F55">
        <v>52</v>
      </c>
      <c r="G55">
        <f>ABS(B55*$P$3)</f>
        <v>4680000</v>
      </c>
      <c r="H55">
        <f t="shared" si="0"/>
        <v>5387759.9999999981</v>
      </c>
      <c r="I55">
        <f t="shared" si="1"/>
        <v>4742639.9999999981</v>
      </c>
      <c r="J55">
        <f t="shared" si="2"/>
        <v>707759.99999999814</v>
      </c>
      <c r="K55">
        <f t="shared" si="3"/>
        <v>62639.999999998137</v>
      </c>
    </row>
    <row r="56" spans="1:11" x14ac:dyDescent="0.2">
      <c r="A56">
        <v>53</v>
      </c>
      <c r="B56" s="36">
        <v>0.1379999999999999</v>
      </c>
      <c r="C56" s="36">
        <v>7.4000000000000057</v>
      </c>
      <c r="D56">
        <v>5.4700000000000131</v>
      </c>
      <c r="F56">
        <v>53</v>
      </c>
      <c r="G56">
        <f>ABS(B56*$P$3)</f>
        <v>2759999.9999999981</v>
      </c>
      <c r="H56">
        <f t="shared" si="0"/>
        <v>3729600.0000000028</v>
      </c>
      <c r="I56">
        <f t="shared" si="1"/>
        <v>2756880.0000000065</v>
      </c>
      <c r="J56">
        <f t="shared" si="2"/>
        <v>969600.00000000466</v>
      </c>
      <c r="K56">
        <f t="shared" si="3"/>
        <v>3119.9999999916181</v>
      </c>
    </row>
    <row r="57" spans="1:11" x14ac:dyDescent="0.2">
      <c r="A57">
        <v>54</v>
      </c>
      <c r="B57" s="36">
        <v>0.16500000000000004</v>
      </c>
      <c r="C57" s="36">
        <v>0.38000000000000966</v>
      </c>
      <c r="D57">
        <v>4.2200000000000131</v>
      </c>
      <c r="F57">
        <v>54</v>
      </c>
      <c r="G57">
        <f>ABS(B57*$P$3)</f>
        <v>3300000.0000000009</v>
      </c>
      <c r="H57">
        <f t="shared" si="0"/>
        <v>191520.00000000486</v>
      </c>
      <c r="I57">
        <f t="shared" si="1"/>
        <v>2126880.0000000065</v>
      </c>
      <c r="J57">
        <f t="shared" si="2"/>
        <v>3108479.9999999963</v>
      </c>
      <c r="K57">
        <f t="shared" si="3"/>
        <v>1173119.9999999944</v>
      </c>
    </row>
    <row r="58" spans="1:11" x14ac:dyDescent="0.2">
      <c r="A58">
        <v>55</v>
      </c>
      <c r="B58" s="36">
        <v>4.8000000000000043E-2</v>
      </c>
      <c r="C58" s="36">
        <v>6.8700000000000045</v>
      </c>
      <c r="D58">
        <v>0.54999999999999716</v>
      </c>
      <c r="F58">
        <v>55</v>
      </c>
      <c r="G58">
        <f>ABS(B58*$P$3)</f>
        <v>960000.00000000081</v>
      </c>
      <c r="H58">
        <f t="shared" si="0"/>
        <v>3462480.0000000019</v>
      </c>
      <c r="I58">
        <f t="shared" si="1"/>
        <v>277199.99999999854</v>
      </c>
      <c r="J58">
        <f t="shared" si="2"/>
        <v>2502480.0000000009</v>
      </c>
      <c r="K58">
        <f t="shared" si="3"/>
        <v>682800.00000000233</v>
      </c>
    </row>
    <row r="59" spans="1:11" x14ac:dyDescent="0.2">
      <c r="A59">
        <v>56</v>
      </c>
      <c r="B59" s="36">
        <v>0.26900000000000013</v>
      </c>
      <c r="C59" s="36">
        <v>9.8799999999999955</v>
      </c>
      <c r="D59">
        <v>11.060000000000002</v>
      </c>
      <c r="F59">
        <v>56</v>
      </c>
      <c r="G59">
        <f>ABS(B59*$P$3)</f>
        <v>5380000.0000000028</v>
      </c>
      <c r="H59">
        <f t="shared" si="0"/>
        <v>4979519.9999999981</v>
      </c>
      <c r="I59">
        <f t="shared" si="1"/>
        <v>5574240.0000000019</v>
      </c>
      <c r="J59">
        <f t="shared" si="2"/>
        <v>400480.00000000466</v>
      </c>
      <c r="K59">
        <f t="shared" si="3"/>
        <v>194239.99999999907</v>
      </c>
    </row>
    <row r="60" spans="1:11" x14ac:dyDescent="0.2">
      <c r="A60">
        <v>57</v>
      </c>
      <c r="B60" s="36">
        <v>0.18400000000000016</v>
      </c>
      <c r="C60" s="36">
        <v>14.259999999999991</v>
      </c>
      <c r="D60">
        <v>3.0100000000000051</v>
      </c>
      <c r="F60">
        <v>57</v>
      </c>
      <c r="G60">
        <f>ABS(B60*$P$3)</f>
        <v>3680000.0000000033</v>
      </c>
      <c r="H60">
        <f t="shared" si="0"/>
        <v>7187039.9999999963</v>
      </c>
      <c r="I60">
        <f t="shared" si="1"/>
        <v>1517040.0000000026</v>
      </c>
      <c r="J60">
        <f t="shared" si="2"/>
        <v>3507039.999999993</v>
      </c>
      <c r="K60">
        <f t="shared" si="3"/>
        <v>2162960.0000000009</v>
      </c>
    </row>
    <row r="61" spans="1:11" x14ac:dyDescent="0.2">
      <c r="A61">
        <v>58</v>
      </c>
      <c r="B61" s="36">
        <v>2.7000000000000135E-2</v>
      </c>
      <c r="C61" s="36">
        <v>7.1700000000000017</v>
      </c>
      <c r="D61">
        <v>2.789999999999992</v>
      </c>
      <c r="F61">
        <v>58</v>
      </c>
      <c r="G61">
        <f>ABS(B61*$P$3)</f>
        <v>540000.00000000268</v>
      </c>
      <c r="H61">
        <f t="shared" si="0"/>
        <v>3613680.0000000009</v>
      </c>
      <c r="I61">
        <f t="shared" si="1"/>
        <v>1406159.999999996</v>
      </c>
      <c r="J61">
        <f t="shared" si="2"/>
        <v>3073679.9999999981</v>
      </c>
      <c r="K61">
        <f t="shared" si="3"/>
        <v>866159.99999999336</v>
      </c>
    </row>
    <row r="62" spans="1:11" x14ac:dyDescent="0.2">
      <c r="A62">
        <v>59</v>
      </c>
      <c r="B62" s="36">
        <v>8.4000000000000075E-2</v>
      </c>
      <c r="C62" s="36">
        <v>1.5300000000000011</v>
      </c>
      <c r="D62">
        <v>3.1299999999999955</v>
      </c>
      <c r="F62">
        <v>59</v>
      </c>
      <c r="G62">
        <f>ABS(B62*$P$3)</f>
        <v>1680000.0000000014</v>
      </c>
      <c r="H62">
        <f t="shared" si="0"/>
        <v>771120.00000000058</v>
      </c>
      <c r="I62">
        <f t="shared" si="1"/>
        <v>1577519.9999999977</v>
      </c>
      <c r="J62">
        <f t="shared" si="2"/>
        <v>908880.00000000081</v>
      </c>
      <c r="K62">
        <f t="shared" si="3"/>
        <v>102480.00000000373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21B414-5A50-2444-B907-2DD46B19AD96}">
  <dimension ref="A1:V61"/>
  <sheetViews>
    <sheetView topLeftCell="D1" zoomScale="113" workbookViewId="0">
      <selection activeCell="W50" sqref="W50"/>
    </sheetView>
  </sheetViews>
  <sheetFormatPr baseColWidth="10" defaultRowHeight="16" x14ac:dyDescent="0.2"/>
  <cols>
    <col min="2" max="2" width="34.83203125" bestFit="1" customWidth="1"/>
    <col min="3" max="3" width="47.83203125" bestFit="1" customWidth="1"/>
    <col min="4" max="4" width="50.33203125" bestFit="1" customWidth="1"/>
    <col min="5" max="5" width="34.83203125" bestFit="1" customWidth="1"/>
    <col min="15" max="15" width="39.83203125" bestFit="1" customWidth="1"/>
    <col min="16" max="16" width="13" bestFit="1" customWidth="1"/>
    <col min="17" max="17" width="8.1640625" bestFit="1" customWidth="1"/>
    <col min="18" max="18" width="16.83203125" bestFit="1" customWidth="1"/>
    <col min="19" max="19" width="13" bestFit="1" customWidth="1"/>
    <col min="21" max="21" width="16.83203125" bestFit="1" customWidth="1"/>
    <col min="22" max="22" width="12.33203125" bestFit="1" customWidth="1"/>
  </cols>
  <sheetData>
    <row r="1" spans="1:19" x14ac:dyDescent="0.2">
      <c r="A1" t="s">
        <v>55</v>
      </c>
      <c r="B1" t="s">
        <v>48</v>
      </c>
      <c r="C1" t="s">
        <v>52</v>
      </c>
      <c r="D1" t="s">
        <v>54</v>
      </c>
      <c r="E1" t="s">
        <v>83</v>
      </c>
      <c r="G1" s="42"/>
      <c r="H1" s="43" t="s">
        <v>57</v>
      </c>
      <c r="I1" s="43" t="s">
        <v>58</v>
      </c>
      <c r="J1" s="43" t="s">
        <v>58</v>
      </c>
    </row>
    <row r="2" spans="1:19" ht="85" thickBot="1" x14ac:dyDescent="0.25">
      <c r="A2">
        <v>1</v>
      </c>
      <c r="B2">
        <v>9.4000000000000083E-2</v>
      </c>
      <c r="C2">
        <v>3.6099999999999994</v>
      </c>
      <c r="D2">
        <v>2.8699999999999974</v>
      </c>
      <c r="E2">
        <v>9.9999999999999867E-2</v>
      </c>
      <c r="G2" s="42" t="s">
        <v>55</v>
      </c>
      <c r="H2" s="44" t="s">
        <v>59</v>
      </c>
      <c r="I2" s="44" t="s">
        <v>60</v>
      </c>
      <c r="J2" s="44" t="s">
        <v>79</v>
      </c>
      <c r="K2" s="44" t="s">
        <v>61</v>
      </c>
      <c r="L2" s="44" t="s">
        <v>80</v>
      </c>
      <c r="O2" s="45"/>
      <c r="P2" s="45"/>
      <c r="Q2" s="45"/>
      <c r="R2" s="46" t="s">
        <v>62</v>
      </c>
      <c r="S2" s="46" t="s">
        <v>84</v>
      </c>
    </row>
    <row r="3" spans="1:19" ht="17" thickTop="1" x14ac:dyDescent="0.2">
      <c r="A3">
        <v>2</v>
      </c>
      <c r="B3">
        <v>0.16399999999999992</v>
      </c>
      <c r="C3">
        <v>4.1599999999999966</v>
      </c>
      <c r="D3">
        <v>9.0799999999999983</v>
      </c>
      <c r="E3">
        <v>9.000000000000008E-2</v>
      </c>
      <c r="G3">
        <v>1</v>
      </c>
      <c r="H3">
        <f>B2*$R$3</f>
        <v>-1880000.0000000016</v>
      </c>
      <c r="I3">
        <f>C2*$R$5*12</f>
        <v>1819439.9999999995</v>
      </c>
      <c r="J3">
        <f>D2*$R$5*12</f>
        <v>1446479.9999999988</v>
      </c>
      <c r="K3">
        <f>H3+I3</f>
        <v>-60560.000000002095</v>
      </c>
      <c r="L3">
        <f>H3+J3</f>
        <v>-433520.00000000279</v>
      </c>
      <c r="O3" s="49" t="s">
        <v>63</v>
      </c>
      <c r="P3" s="50"/>
      <c r="Q3" s="51" t="s">
        <v>57</v>
      </c>
      <c r="R3" s="52">
        <f>-20000000</f>
        <v>-20000000</v>
      </c>
      <c r="S3" s="52">
        <f>-20000000</f>
        <v>-20000000</v>
      </c>
    </row>
    <row r="4" spans="1:19" x14ac:dyDescent="0.2">
      <c r="A4">
        <v>3</v>
      </c>
      <c r="B4">
        <v>3.2000000000000028E-2</v>
      </c>
      <c r="C4">
        <v>-0.15999999999999659</v>
      </c>
      <c r="D4">
        <v>-1.2399999999999949</v>
      </c>
      <c r="E4">
        <v>2.6000000000000023E-2</v>
      </c>
      <c r="G4">
        <v>2</v>
      </c>
      <c r="H4">
        <f t="shared" ref="H4:H61" si="0">B3*$R$3</f>
        <v>-3279999.9999999986</v>
      </c>
      <c r="I4">
        <f t="shared" ref="I4:I61" si="1">C3*$R$5*12</f>
        <v>2096639.9999999981</v>
      </c>
      <c r="J4">
        <f t="shared" ref="J4:J61" si="2">D3*$R$5*12</f>
        <v>4576319.9999999991</v>
      </c>
      <c r="K4">
        <f t="shared" ref="K4:K61" si="3">H4+I4</f>
        <v>-1183360.0000000005</v>
      </c>
      <c r="L4">
        <f t="shared" ref="L4:L61" si="4">H4+J4</f>
        <v>1296320.0000000005</v>
      </c>
      <c r="O4" s="50"/>
      <c r="P4" s="50"/>
      <c r="Q4" s="50"/>
      <c r="R4" s="48"/>
      <c r="S4" s="48"/>
    </row>
    <row r="5" spans="1:19" x14ac:dyDescent="0.2">
      <c r="A5">
        <v>4</v>
      </c>
      <c r="B5">
        <v>-4.9999999999998934E-3</v>
      </c>
      <c r="C5">
        <v>-1.7600000000000051</v>
      </c>
      <c r="D5">
        <v>0.95000000000000284</v>
      </c>
      <c r="E5">
        <v>-5.0000000000001155E-3</v>
      </c>
      <c r="G5">
        <v>3</v>
      </c>
      <c r="H5">
        <f t="shared" si="0"/>
        <v>-640000.00000000058</v>
      </c>
      <c r="I5">
        <f t="shared" si="1"/>
        <v>-80639.999999998283</v>
      </c>
      <c r="J5">
        <f t="shared" si="2"/>
        <v>-624959.99999999744</v>
      </c>
      <c r="K5">
        <f t="shared" si="3"/>
        <v>-720639.99999999884</v>
      </c>
      <c r="L5">
        <f t="shared" si="4"/>
        <v>-1264959.9999999981</v>
      </c>
      <c r="O5" s="49" t="s">
        <v>64</v>
      </c>
      <c r="P5" s="50"/>
      <c r="Q5" s="53"/>
      <c r="R5" s="54">
        <v>42000</v>
      </c>
      <c r="S5" s="54">
        <v>42001</v>
      </c>
    </row>
    <row r="6" spans="1:19" x14ac:dyDescent="0.2">
      <c r="A6">
        <v>5</v>
      </c>
      <c r="B6">
        <v>4.5999999999999819E-2</v>
      </c>
      <c r="C6">
        <v>6.4500000000000028</v>
      </c>
      <c r="D6">
        <v>4.039999999999992</v>
      </c>
      <c r="E6">
        <v>0.13100000000000023</v>
      </c>
      <c r="G6">
        <v>4</v>
      </c>
      <c r="H6">
        <f t="shared" si="0"/>
        <v>99999.999999997875</v>
      </c>
      <c r="I6">
        <f t="shared" si="1"/>
        <v>-887040.00000000256</v>
      </c>
      <c r="J6">
        <f t="shared" si="2"/>
        <v>478800.0000000014</v>
      </c>
      <c r="K6">
        <f t="shared" si="3"/>
        <v>-787040.00000000466</v>
      </c>
      <c r="L6">
        <f t="shared" si="4"/>
        <v>578799.9999999993</v>
      </c>
      <c r="O6" s="49"/>
      <c r="P6" s="50"/>
      <c r="Q6" s="53"/>
      <c r="R6" s="54"/>
      <c r="S6" s="54"/>
    </row>
    <row r="7" spans="1:19" x14ac:dyDescent="0.2">
      <c r="A7">
        <v>6</v>
      </c>
      <c r="B7">
        <v>0.1080000000000001</v>
      </c>
      <c r="C7">
        <v>7.730000000000004</v>
      </c>
      <c r="D7">
        <v>4.7900000000000063</v>
      </c>
      <c r="E7">
        <v>7.2000000000000064E-2</v>
      </c>
      <c r="G7">
        <v>5</v>
      </c>
      <c r="H7">
        <f t="shared" si="0"/>
        <v>-919999.99999999639</v>
      </c>
      <c r="I7">
        <f t="shared" si="1"/>
        <v>3250800.0000000014</v>
      </c>
      <c r="J7">
        <f t="shared" si="2"/>
        <v>2036159.9999999963</v>
      </c>
      <c r="K7">
        <f t="shared" si="3"/>
        <v>2330800.0000000051</v>
      </c>
      <c r="L7">
        <f t="shared" si="4"/>
        <v>1116160</v>
      </c>
      <c r="O7" s="50" t="s">
        <v>65</v>
      </c>
      <c r="P7" s="50"/>
      <c r="Q7" s="50"/>
      <c r="R7" s="55">
        <f>CORREL($B$2:$B$60,C2:C60)*(_xlfn.STDEV.S(B2:B60)/STDEV(C2:C60))</f>
        <v>2.4306514409481825E-2</v>
      </c>
      <c r="S7" s="55">
        <f>CORREL($B$2:$B$60,D2:D60)*(_xlfn.STDEV.S(B2:B60)/STDEV(D2:D60))</f>
        <v>2.5109956649658861E-2</v>
      </c>
    </row>
    <row r="8" spans="1:19" x14ac:dyDescent="0.2">
      <c r="A8">
        <v>7</v>
      </c>
      <c r="B8">
        <v>-6.3000000000000167E-2</v>
      </c>
      <c r="C8">
        <v>-4.2199999999999989</v>
      </c>
      <c r="D8">
        <v>-4.7199999999999989</v>
      </c>
      <c r="E8">
        <v>-5.8000000000000274E-2</v>
      </c>
      <c r="G8">
        <v>6</v>
      </c>
      <c r="H8">
        <f t="shared" si="0"/>
        <v>-2160000.0000000019</v>
      </c>
      <c r="I8">
        <f t="shared" si="1"/>
        <v>3895920.0000000019</v>
      </c>
      <c r="J8">
        <f t="shared" si="2"/>
        <v>2414160.0000000033</v>
      </c>
      <c r="K8">
        <f t="shared" si="3"/>
        <v>1735920</v>
      </c>
      <c r="L8">
        <f t="shared" si="4"/>
        <v>254160.0000000014</v>
      </c>
      <c r="O8" s="49" t="s">
        <v>66</v>
      </c>
      <c r="P8" s="50"/>
      <c r="Q8" s="51" t="s">
        <v>58</v>
      </c>
      <c r="R8" s="56">
        <f>ABS((R3*R7)/R5)</f>
        <v>11.574530671181821</v>
      </c>
      <c r="S8" s="56">
        <f>ABS((S3*S7)/S5)</f>
        <v>11.95683752751547</v>
      </c>
    </row>
    <row r="9" spans="1:19" x14ac:dyDescent="0.2">
      <c r="A9">
        <v>8</v>
      </c>
      <c r="B9">
        <v>0.15300000000000002</v>
      </c>
      <c r="C9">
        <v>7.6599999999999966</v>
      </c>
      <c r="D9">
        <v>8.6799999999999926</v>
      </c>
      <c r="E9">
        <v>0.16199999999999992</v>
      </c>
      <c r="G9">
        <v>7</v>
      </c>
      <c r="H9">
        <f t="shared" si="0"/>
        <v>1260000.0000000033</v>
      </c>
      <c r="I9">
        <f t="shared" si="1"/>
        <v>-2126879.9999999991</v>
      </c>
      <c r="J9">
        <f t="shared" si="2"/>
        <v>-2378879.9999999991</v>
      </c>
      <c r="K9">
        <f t="shared" si="3"/>
        <v>-866879.99999999581</v>
      </c>
      <c r="L9">
        <f t="shared" si="4"/>
        <v>-1118879.9999999958</v>
      </c>
    </row>
    <row r="10" spans="1:19" x14ac:dyDescent="0.2">
      <c r="A10">
        <v>9</v>
      </c>
      <c r="B10">
        <v>0.30400000000000027</v>
      </c>
      <c r="C10">
        <v>12.519999999999996</v>
      </c>
      <c r="D10">
        <v>8.9000000000000057</v>
      </c>
      <c r="E10">
        <v>0.30699999999999994</v>
      </c>
      <c r="G10">
        <v>8</v>
      </c>
      <c r="H10">
        <f t="shared" si="0"/>
        <v>-3060000.0000000005</v>
      </c>
      <c r="I10">
        <f>C9*$R$5*12</f>
        <v>3860639.9999999986</v>
      </c>
      <c r="J10">
        <f t="shared" si="2"/>
        <v>4374719.9999999963</v>
      </c>
      <c r="K10">
        <f t="shared" si="3"/>
        <v>800639.99999999814</v>
      </c>
      <c r="L10">
        <f t="shared" si="4"/>
        <v>1314719.9999999958</v>
      </c>
    </row>
    <row r="11" spans="1:19" x14ac:dyDescent="0.2">
      <c r="A11">
        <v>10</v>
      </c>
      <c r="B11">
        <v>-2.4000000000000021E-2</v>
      </c>
      <c r="C11">
        <v>-5.5600000000000023</v>
      </c>
      <c r="D11">
        <v>-1.1600000000000108</v>
      </c>
      <c r="E11">
        <v>-6.9999999999996732E-3</v>
      </c>
      <c r="G11">
        <v>9</v>
      </c>
      <c r="H11">
        <f t="shared" si="0"/>
        <v>-6080000.0000000056</v>
      </c>
      <c r="I11">
        <f t="shared" si="1"/>
        <v>6310079.9999999981</v>
      </c>
      <c r="J11">
        <f t="shared" si="2"/>
        <v>4485600.0000000028</v>
      </c>
      <c r="K11">
        <f t="shared" si="3"/>
        <v>230079.99999999255</v>
      </c>
      <c r="L11">
        <f t="shared" si="4"/>
        <v>-1594400.0000000028</v>
      </c>
    </row>
    <row r="12" spans="1:19" x14ac:dyDescent="0.2">
      <c r="A12">
        <v>11</v>
      </c>
      <c r="B12">
        <v>0.10499999999999998</v>
      </c>
      <c r="C12">
        <v>7.3500000000000085</v>
      </c>
      <c r="D12">
        <v>4.9700000000000131</v>
      </c>
      <c r="E12">
        <v>0.14900000000000002</v>
      </c>
      <c r="G12">
        <v>10</v>
      </c>
      <c r="H12">
        <f t="shared" si="0"/>
        <v>480000.00000000041</v>
      </c>
      <c r="I12">
        <f t="shared" si="1"/>
        <v>-2802240.0000000009</v>
      </c>
      <c r="J12">
        <f>D11*$R$5*12</f>
        <v>-584640.00000000536</v>
      </c>
      <c r="K12">
        <f t="shared" si="3"/>
        <v>-2322240.0000000005</v>
      </c>
      <c r="L12">
        <f t="shared" si="4"/>
        <v>-104640.00000000495</v>
      </c>
    </row>
    <row r="13" spans="1:19" x14ac:dyDescent="0.2">
      <c r="A13">
        <v>12</v>
      </c>
      <c r="B13">
        <v>-0.10099999999999998</v>
      </c>
      <c r="C13">
        <v>-4.2800000000000011</v>
      </c>
      <c r="D13">
        <v>-2.1000000000000085</v>
      </c>
      <c r="E13">
        <v>-0.125</v>
      </c>
      <c r="G13">
        <v>11</v>
      </c>
      <c r="H13">
        <f t="shared" si="0"/>
        <v>-2099999.9999999995</v>
      </c>
      <c r="I13">
        <f t="shared" si="1"/>
        <v>3704400.0000000042</v>
      </c>
      <c r="J13">
        <f t="shared" si="2"/>
        <v>2504880.0000000065</v>
      </c>
      <c r="K13">
        <f t="shared" si="3"/>
        <v>1604400.0000000047</v>
      </c>
      <c r="L13">
        <f t="shared" si="4"/>
        <v>404880.00000000698</v>
      </c>
    </row>
    <row r="14" spans="1:19" x14ac:dyDescent="0.2">
      <c r="A14">
        <v>13</v>
      </c>
      <c r="B14">
        <v>0.34299999999999997</v>
      </c>
      <c r="C14">
        <v>10.11</v>
      </c>
      <c r="D14">
        <v>9.3200000000000074</v>
      </c>
      <c r="E14">
        <v>0.28299999999999992</v>
      </c>
      <c r="G14">
        <v>12</v>
      </c>
      <c r="H14">
        <f t="shared" si="0"/>
        <v>2019999.9999999995</v>
      </c>
      <c r="I14">
        <f t="shared" si="1"/>
        <v>-2157120.0000000009</v>
      </c>
      <c r="J14">
        <f t="shared" si="2"/>
        <v>-1058400.0000000044</v>
      </c>
      <c r="K14">
        <f t="shared" si="3"/>
        <v>-137120.0000000014</v>
      </c>
      <c r="L14">
        <f t="shared" si="4"/>
        <v>961599.99999999511</v>
      </c>
    </row>
    <row r="15" spans="1:19" x14ac:dyDescent="0.2">
      <c r="A15">
        <v>14</v>
      </c>
      <c r="B15">
        <v>0.14599999999999991</v>
      </c>
      <c r="C15">
        <v>-0.23999999999999488</v>
      </c>
      <c r="D15">
        <v>1.4299999999999926</v>
      </c>
      <c r="E15">
        <v>0.2719999999999998</v>
      </c>
      <c r="G15">
        <v>13</v>
      </c>
      <c r="H15">
        <f t="shared" si="0"/>
        <v>-6859999.9999999991</v>
      </c>
      <c r="I15">
        <f t="shared" si="1"/>
        <v>5095440</v>
      </c>
      <c r="J15">
        <f t="shared" si="2"/>
        <v>4697280.0000000037</v>
      </c>
      <c r="K15">
        <f t="shared" si="3"/>
        <v>-1764559.9999999991</v>
      </c>
      <c r="L15">
        <f t="shared" si="4"/>
        <v>-2162719.9999999953</v>
      </c>
    </row>
    <row r="16" spans="1:19" x14ac:dyDescent="0.2">
      <c r="A16">
        <v>15</v>
      </c>
      <c r="B16">
        <v>0.26800000000000024</v>
      </c>
      <c r="C16">
        <v>12.159999999999997</v>
      </c>
      <c r="D16">
        <v>8.7900000000000063</v>
      </c>
      <c r="E16">
        <v>0.11699999999999999</v>
      </c>
      <c r="G16">
        <v>14</v>
      </c>
      <c r="H16">
        <f t="shared" si="0"/>
        <v>-2919999.9999999981</v>
      </c>
      <c r="I16">
        <f t="shared" si="1"/>
        <v>-120959.99999999742</v>
      </c>
      <c r="J16">
        <f t="shared" si="2"/>
        <v>720719.99999999627</v>
      </c>
      <c r="K16">
        <f t="shared" si="3"/>
        <v>-3040959.9999999953</v>
      </c>
      <c r="L16">
        <f t="shared" si="4"/>
        <v>-2199280.0000000019</v>
      </c>
    </row>
    <row r="17" spans="1:12" x14ac:dyDescent="0.2">
      <c r="A17">
        <v>16</v>
      </c>
      <c r="B17">
        <v>0.40700000000000003</v>
      </c>
      <c r="C17">
        <v>13.649999999999991</v>
      </c>
      <c r="D17">
        <v>16.72999999999999</v>
      </c>
      <c r="E17">
        <v>0.45199999999999996</v>
      </c>
      <c r="G17">
        <v>15</v>
      </c>
      <c r="H17">
        <f t="shared" si="0"/>
        <v>-5360000.0000000047</v>
      </c>
      <c r="I17">
        <f t="shared" si="1"/>
        <v>6128639.9999999981</v>
      </c>
      <c r="J17">
        <f t="shared" si="2"/>
        <v>4430160.0000000037</v>
      </c>
      <c r="K17">
        <f t="shared" si="3"/>
        <v>768639.99999999348</v>
      </c>
      <c r="L17">
        <f t="shared" si="4"/>
        <v>-929840.00000000093</v>
      </c>
    </row>
    <row r="18" spans="1:12" x14ac:dyDescent="0.2">
      <c r="A18">
        <v>17</v>
      </c>
      <c r="B18">
        <v>0.28399999999999936</v>
      </c>
      <c r="C18">
        <v>12.610000000000014</v>
      </c>
      <c r="D18">
        <v>10.550000000000011</v>
      </c>
      <c r="E18">
        <v>0.24300000000000033</v>
      </c>
      <c r="G18">
        <v>16</v>
      </c>
      <c r="H18">
        <f t="shared" si="0"/>
        <v>-8140000.0000000009</v>
      </c>
      <c r="I18">
        <f t="shared" si="1"/>
        <v>6879599.9999999963</v>
      </c>
      <c r="J18">
        <f t="shared" si="2"/>
        <v>8431919.9999999944</v>
      </c>
      <c r="K18">
        <f t="shared" si="3"/>
        <v>-1260400.0000000047</v>
      </c>
      <c r="L18">
        <f t="shared" si="4"/>
        <v>291919.99999999348</v>
      </c>
    </row>
    <row r="19" spans="1:12" x14ac:dyDescent="0.2">
      <c r="A19">
        <v>18</v>
      </c>
      <c r="B19">
        <v>-0.46599999999999975</v>
      </c>
      <c r="C19">
        <v>-15.790000000000006</v>
      </c>
      <c r="D19">
        <v>-14.300000000000011</v>
      </c>
      <c r="E19">
        <v>-0.45500000000000007</v>
      </c>
      <c r="G19">
        <v>17</v>
      </c>
      <c r="H19">
        <f t="shared" si="0"/>
        <v>-5679999.999999987</v>
      </c>
      <c r="I19">
        <f t="shared" si="1"/>
        <v>6355440.0000000075</v>
      </c>
      <c r="J19">
        <f t="shared" si="2"/>
        <v>5317200.0000000056</v>
      </c>
      <c r="K19">
        <f t="shared" si="3"/>
        <v>675440.00000002049</v>
      </c>
      <c r="L19">
        <f t="shared" si="4"/>
        <v>-362799.99999998137</v>
      </c>
    </row>
    <row r="20" spans="1:12" x14ac:dyDescent="0.2">
      <c r="A20">
        <v>19</v>
      </c>
      <c r="B20">
        <v>-0.25800000000000001</v>
      </c>
      <c r="C20">
        <v>-8.6200000000000045</v>
      </c>
      <c r="D20">
        <v>-10.61</v>
      </c>
      <c r="E20">
        <v>-0.28500000000000014</v>
      </c>
      <c r="G20">
        <v>18</v>
      </c>
      <c r="H20">
        <f t="shared" si="0"/>
        <v>9319999.9999999944</v>
      </c>
      <c r="I20">
        <f t="shared" si="1"/>
        <v>-7958160.0000000028</v>
      </c>
      <c r="J20">
        <f t="shared" si="2"/>
        <v>-7207200.0000000056</v>
      </c>
      <c r="K20">
        <f t="shared" si="3"/>
        <v>1361839.9999999916</v>
      </c>
      <c r="L20">
        <f t="shared" si="4"/>
        <v>2112799.9999999888</v>
      </c>
    </row>
    <row r="21" spans="1:12" x14ac:dyDescent="0.2">
      <c r="A21">
        <v>20</v>
      </c>
      <c r="B21">
        <v>-0.27400000000000002</v>
      </c>
      <c r="C21">
        <v>-14.849999999999994</v>
      </c>
      <c r="D21">
        <v>-19.97</v>
      </c>
      <c r="E21">
        <v>-0.29899999999999993</v>
      </c>
      <c r="G21">
        <v>19</v>
      </c>
      <c r="H21">
        <f t="shared" si="0"/>
        <v>5160000</v>
      </c>
      <c r="I21">
        <f t="shared" si="1"/>
        <v>-4344480.0000000019</v>
      </c>
      <c r="J21">
        <f t="shared" si="2"/>
        <v>-5347440</v>
      </c>
      <c r="K21">
        <f t="shared" si="3"/>
        <v>815519.99999999814</v>
      </c>
      <c r="L21">
        <f t="shared" si="4"/>
        <v>-187440</v>
      </c>
    </row>
    <row r="22" spans="1:12" x14ac:dyDescent="0.2">
      <c r="A22">
        <v>21</v>
      </c>
      <c r="B22">
        <v>-0.92799999999999994</v>
      </c>
      <c r="C22">
        <v>-32.600000000000009</v>
      </c>
      <c r="D22">
        <v>-33.519999999999996</v>
      </c>
      <c r="E22">
        <v>-0.76600000000000001</v>
      </c>
      <c r="G22">
        <v>20</v>
      </c>
      <c r="H22">
        <f t="shared" si="0"/>
        <v>5480000</v>
      </c>
      <c r="I22">
        <f t="shared" si="1"/>
        <v>-7484399.9999999972</v>
      </c>
      <c r="J22">
        <f t="shared" si="2"/>
        <v>-10064880</v>
      </c>
      <c r="K22">
        <f t="shared" si="3"/>
        <v>-2004399.9999999972</v>
      </c>
      <c r="L22">
        <f t="shared" si="4"/>
        <v>-4584880</v>
      </c>
    </row>
    <row r="23" spans="1:12" x14ac:dyDescent="0.2">
      <c r="A23">
        <v>22</v>
      </c>
      <c r="B23">
        <v>-0.33399999999999985</v>
      </c>
      <c r="C23">
        <v>-12.889999999999993</v>
      </c>
      <c r="D23">
        <v>-12.280000000000001</v>
      </c>
      <c r="E23">
        <v>-0.38900000000000001</v>
      </c>
      <c r="G23">
        <v>21</v>
      </c>
      <c r="H23">
        <f t="shared" si="0"/>
        <v>18560000</v>
      </c>
      <c r="I23">
        <f t="shared" si="1"/>
        <v>-16430400.000000006</v>
      </c>
      <c r="J23">
        <f t="shared" si="2"/>
        <v>-16894079.999999996</v>
      </c>
      <c r="K23">
        <f t="shared" si="3"/>
        <v>2129599.9999999944</v>
      </c>
      <c r="L23">
        <f t="shared" si="4"/>
        <v>1665920.0000000037</v>
      </c>
    </row>
    <row r="24" spans="1:12" x14ac:dyDescent="0.2">
      <c r="A24">
        <v>23</v>
      </c>
      <c r="B24">
        <v>-0.43999999999999995</v>
      </c>
      <c r="C24">
        <v>-10.61</v>
      </c>
      <c r="D24">
        <v>-11.899999999999999</v>
      </c>
      <c r="E24">
        <v>-0.3819999999999999</v>
      </c>
      <c r="G24">
        <v>22</v>
      </c>
      <c r="H24">
        <f t="shared" si="0"/>
        <v>6679999.9999999972</v>
      </c>
      <c r="I24">
        <f t="shared" si="1"/>
        <v>-6496559.9999999972</v>
      </c>
      <c r="J24">
        <f t="shared" si="2"/>
        <v>-6189120.0000000009</v>
      </c>
      <c r="K24">
        <f t="shared" si="3"/>
        <v>183440</v>
      </c>
      <c r="L24">
        <f t="shared" si="4"/>
        <v>490879.99999999627</v>
      </c>
    </row>
    <row r="25" spans="1:12" x14ac:dyDescent="0.2">
      <c r="A25">
        <v>24</v>
      </c>
      <c r="B25">
        <v>9.5999999999999863E-2</v>
      </c>
      <c r="C25">
        <v>-2.8700000000000045</v>
      </c>
      <c r="D25">
        <v>8.3500000000000014</v>
      </c>
      <c r="E25">
        <v>0.123</v>
      </c>
      <c r="G25">
        <v>23</v>
      </c>
      <c r="H25">
        <f t="shared" si="0"/>
        <v>8799999.9999999981</v>
      </c>
      <c r="I25">
        <f t="shared" si="1"/>
        <v>-5347440</v>
      </c>
      <c r="J25">
        <f t="shared" si="2"/>
        <v>-5997599.9999999991</v>
      </c>
      <c r="K25">
        <f t="shared" si="3"/>
        <v>3452559.9999999981</v>
      </c>
      <c r="L25">
        <f t="shared" si="4"/>
        <v>2802399.9999999991</v>
      </c>
    </row>
    <row r="26" spans="1:12" x14ac:dyDescent="0.2">
      <c r="A26">
        <v>25</v>
      </c>
      <c r="B26">
        <v>-0.15100000000000002</v>
      </c>
      <c r="C26">
        <v>2.4200000000000017</v>
      </c>
      <c r="D26">
        <v>0.23999999999999488</v>
      </c>
      <c r="E26">
        <v>-0.16600000000000015</v>
      </c>
      <c r="G26">
        <v>24</v>
      </c>
      <c r="H26">
        <f t="shared" si="0"/>
        <v>-1919999.9999999972</v>
      </c>
      <c r="I26">
        <f t="shared" si="1"/>
        <v>-1446480.0000000023</v>
      </c>
      <c r="J26">
        <f t="shared" si="2"/>
        <v>4208400.0000000009</v>
      </c>
      <c r="K26">
        <f t="shared" si="3"/>
        <v>-3366479.9999999995</v>
      </c>
      <c r="L26">
        <f t="shared" si="4"/>
        <v>2288400.0000000037</v>
      </c>
    </row>
    <row r="27" spans="1:12" x14ac:dyDescent="0.2">
      <c r="A27">
        <v>26</v>
      </c>
      <c r="B27">
        <v>7.6000000000000068E-2</v>
      </c>
      <c r="C27">
        <v>5.490000000000002</v>
      </c>
      <c r="D27">
        <v>1.720000000000006</v>
      </c>
      <c r="E27">
        <v>6.5000000000000169E-2</v>
      </c>
      <c r="G27">
        <v>25</v>
      </c>
      <c r="H27">
        <f t="shared" si="0"/>
        <v>3020000.0000000005</v>
      </c>
      <c r="I27">
        <f t="shared" si="1"/>
        <v>1219680.0000000009</v>
      </c>
      <c r="J27">
        <f t="shared" si="2"/>
        <v>120959.99999999742</v>
      </c>
      <c r="K27">
        <f t="shared" si="3"/>
        <v>4239680.0000000019</v>
      </c>
      <c r="L27">
        <f t="shared" si="4"/>
        <v>3140959.9999999977</v>
      </c>
    </row>
    <row r="28" spans="1:12" x14ac:dyDescent="0.2">
      <c r="A28">
        <v>27</v>
      </c>
      <c r="B28">
        <v>-4.6999999999999931E-2</v>
      </c>
      <c r="C28">
        <v>0.71000000000000085</v>
      </c>
      <c r="D28">
        <v>4.1699999999999946</v>
      </c>
      <c r="E28">
        <v>-3.7000000000000144E-2</v>
      </c>
      <c r="G28">
        <v>26</v>
      </c>
      <c r="H28">
        <f t="shared" si="0"/>
        <v>-1520000.0000000014</v>
      </c>
      <c r="I28">
        <f t="shared" si="1"/>
        <v>2766960.0000000009</v>
      </c>
      <c r="J28">
        <f t="shared" si="2"/>
        <v>866880.00000000303</v>
      </c>
      <c r="K28">
        <f t="shared" si="3"/>
        <v>1246959.9999999995</v>
      </c>
      <c r="L28">
        <f t="shared" si="4"/>
        <v>-653119.99999999837</v>
      </c>
    </row>
    <row r="29" spans="1:12" x14ac:dyDescent="0.2">
      <c r="A29">
        <v>28</v>
      </c>
      <c r="B29">
        <v>0.37799999999999989</v>
      </c>
      <c r="C29">
        <v>15.96</v>
      </c>
      <c r="D29">
        <v>14.680000000000007</v>
      </c>
      <c r="E29">
        <v>0.33699999999999997</v>
      </c>
      <c r="G29">
        <v>27</v>
      </c>
      <c r="H29">
        <f t="shared" si="0"/>
        <v>939999.9999999986</v>
      </c>
      <c r="I29">
        <f t="shared" si="1"/>
        <v>357840.00000000047</v>
      </c>
      <c r="J29">
        <f t="shared" si="2"/>
        <v>2101679.9999999972</v>
      </c>
      <c r="K29">
        <f t="shared" si="3"/>
        <v>1297839.9999999991</v>
      </c>
      <c r="L29">
        <f t="shared" si="4"/>
        <v>3041679.9999999958</v>
      </c>
    </row>
    <row r="30" spans="1:12" x14ac:dyDescent="0.2">
      <c r="A30">
        <v>29</v>
      </c>
      <c r="B30">
        <v>0.1160000000000001</v>
      </c>
      <c r="C30">
        <v>3.5099999999999909</v>
      </c>
      <c r="D30">
        <v>3.1299999999999955</v>
      </c>
      <c r="E30">
        <v>7.9000000000000181E-2</v>
      </c>
      <c r="G30">
        <v>28</v>
      </c>
      <c r="H30">
        <f t="shared" si="0"/>
        <v>-7559999.9999999981</v>
      </c>
      <c r="I30">
        <f t="shared" si="1"/>
        <v>8043840</v>
      </c>
      <c r="J30">
        <f t="shared" si="2"/>
        <v>7398720.0000000028</v>
      </c>
      <c r="K30">
        <f t="shared" si="3"/>
        <v>483840.00000000186</v>
      </c>
      <c r="L30">
        <f t="shared" si="4"/>
        <v>-161279.99999999534</v>
      </c>
    </row>
    <row r="31" spans="1:12" x14ac:dyDescent="0.2">
      <c r="A31">
        <v>30</v>
      </c>
      <c r="B31">
        <v>4.2999999999999927E-2</v>
      </c>
      <c r="C31">
        <v>-0.55999999999998806</v>
      </c>
      <c r="D31">
        <v>1.9699999999999989</v>
      </c>
      <c r="E31">
        <v>7.7999999999999847E-2</v>
      </c>
      <c r="G31">
        <v>29</v>
      </c>
      <c r="H31">
        <f t="shared" si="0"/>
        <v>-2320000.0000000019</v>
      </c>
      <c r="I31">
        <f t="shared" si="1"/>
        <v>1769039.9999999953</v>
      </c>
      <c r="J31">
        <f t="shared" si="2"/>
        <v>1577519.9999999977</v>
      </c>
      <c r="K31">
        <f t="shared" si="3"/>
        <v>-550960.00000000652</v>
      </c>
      <c r="L31">
        <f t="shared" si="4"/>
        <v>-742480.00000000419</v>
      </c>
    </row>
    <row r="32" spans="1:12" x14ac:dyDescent="0.2">
      <c r="A32">
        <v>31</v>
      </c>
      <c r="B32">
        <v>-5.0000000000000044E-2</v>
      </c>
      <c r="C32">
        <v>0.70999999999999375</v>
      </c>
      <c r="D32">
        <v>-1.0600000000000023</v>
      </c>
      <c r="E32">
        <v>-2.0000000000000018E-2</v>
      </c>
      <c r="G32">
        <v>30</v>
      </c>
      <c r="H32">
        <f t="shared" si="0"/>
        <v>-859999.99999999849</v>
      </c>
      <c r="I32">
        <f t="shared" si="1"/>
        <v>-282239.99999999395</v>
      </c>
      <c r="J32">
        <f t="shared" si="2"/>
        <v>992879.99999999953</v>
      </c>
      <c r="K32">
        <f t="shared" si="3"/>
        <v>-1142239.9999999925</v>
      </c>
      <c r="L32">
        <f t="shared" si="4"/>
        <v>132880.00000000105</v>
      </c>
    </row>
    <row r="33" spans="1:22" x14ac:dyDescent="0.2">
      <c r="A33">
        <v>32</v>
      </c>
      <c r="B33">
        <v>1.3000000000000123E-2</v>
      </c>
      <c r="C33">
        <v>0.48999999999999488</v>
      </c>
      <c r="D33">
        <v>-3.2000000000000028</v>
      </c>
      <c r="E33">
        <v>3.2000000000000028E-2</v>
      </c>
      <c r="G33">
        <v>31</v>
      </c>
      <c r="H33">
        <f t="shared" si="0"/>
        <v>1000000.0000000009</v>
      </c>
      <c r="I33">
        <f t="shared" si="1"/>
        <v>357839.99999999686</v>
      </c>
      <c r="J33">
        <f t="shared" si="2"/>
        <v>-534240.00000000116</v>
      </c>
      <c r="K33">
        <f t="shared" si="3"/>
        <v>1357839.9999999977</v>
      </c>
      <c r="L33">
        <f t="shared" si="4"/>
        <v>465759.99999999977</v>
      </c>
    </row>
    <row r="34" spans="1:22" x14ac:dyDescent="0.2">
      <c r="A34">
        <v>33</v>
      </c>
      <c r="B34">
        <v>0.18199999999999994</v>
      </c>
      <c r="C34">
        <v>6.5800000000000125</v>
      </c>
      <c r="D34">
        <v>9.0900000000000034</v>
      </c>
      <c r="E34">
        <v>0.16000000000000014</v>
      </c>
      <c r="G34">
        <v>32</v>
      </c>
      <c r="H34">
        <f t="shared" si="0"/>
        <v>-260000.00000000244</v>
      </c>
      <c r="I34">
        <f t="shared" si="1"/>
        <v>246959.99999999744</v>
      </c>
      <c r="J34">
        <f t="shared" si="2"/>
        <v>-1612800.0000000014</v>
      </c>
      <c r="K34">
        <f t="shared" si="3"/>
        <v>-13040.000000005006</v>
      </c>
      <c r="L34">
        <f t="shared" si="4"/>
        <v>-1872800.0000000037</v>
      </c>
    </row>
    <row r="35" spans="1:22" x14ac:dyDescent="0.2">
      <c r="A35">
        <v>34</v>
      </c>
      <c r="B35">
        <v>2.8000000000000025E-2</v>
      </c>
      <c r="C35">
        <v>0.14999999999999147</v>
      </c>
      <c r="D35">
        <v>2.8599999999999994</v>
      </c>
      <c r="E35">
        <v>1.8999999999999906E-2</v>
      </c>
      <c r="G35">
        <v>33</v>
      </c>
      <c r="H35">
        <f t="shared" si="0"/>
        <v>-3639999.9999999986</v>
      </c>
      <c r="I35">
        <f t="shared" si="1"/>
        <v>3316320.0000000065</v>
      </c>
      <c r="J35">
        <f t="shared" si="2"/>
        <v>4581360.0000000019</v>
      </c>
      <c r="K35">
        <f t="shared" si="3"/>
        <v>-323679.99999999208</v>
      </c>
      <c r="L35">
        <f t="shared" si="4"/>
        <v>941360.00000000326</v>
      </c>
    </row>
    <row r="36" spans="1:22" x14ac:dyDescent="0.2">
      <c r="A36">
        <v>35</v>
      </c>
      <c r="B36">
        <v>8.4000000000000075E-2</v>
      </c>
      <c r="C36">
        <v>2.2000000000000028</v>
      </c>
      <c r="D36">
        <v>0.14000000000000057</v>
      </c>
      <c r="E36">
        <v>0.125</v>
      </c>
      <c r="G36">
        <v>34</v>
      </c>
      <c r="H36">
        <f t="shared" si="0"/>
        <v>-560000.00000000047</v>
      </c>
      <c r="I36">
        <f t="shared" si="1"/>
        <v>75599.999999995693</v>
      </c>
      <c r="J36">
        <f t="shared" si="2"/>
        <v>1441439.9999999995</v>
      </c>
      <c r="K36">
        <f t="shared" si="3"/>
        <v>-484400.00000000477</v>
      </c>
      <c r="L36">
        <f t="shared" si="4"/>
        <v>881439.99999999907</v>
      </c>
    </row>
    <row r="37" spans="1:22" x14ac:dyDescent="0.2">
      <c r="A37">
        <v>36</v>
      </c>
      <c r="B37">
        <v>-0.17800000000000016</v>
      </c>
      <c r="C37">
        <v>-6.5400000000000063</v>
      </c>
      <c r="D37">
        <v>-6.7099999999999937</v>
      </c>
      <c r="E37">
        <v>-0.21500000000000008</v>
      </c>
      <c r="G37">
        <v>35</v>
      </c>
      <c r="H37">
        <f t="shared" si="0"/>
        <v>-1680000.0000000014</v>
      </c>
      <c r="I37">
        <f t="shared" si="1"/>
        <v>1108800.0000000014</v>
      </c>
      <c r="J37">
        <f t="shared" si="2"/>
        <v>70560.000000000291</v>
      </c>
      <c r="K37">
        <f t="shared" si="3"/>
        <v>-571200</v>
      </c>
      <c r="L37">
        <f t="shared" si="4"/>
        <v>-1609440.0000000012</v>
      </c>
    </row>
    <row r="38" spans="1:22" ht="17" thickBot="1" x14ac:dyDescent="0.25">
      <c r="A38">
        <v>37</v>
      </c>
      <c r="B38">
        <v>0.14500000000000024</v>
      </c>
      <c r="C38">
        <v>6.8700000000000045</v>
      </c>
      <c r="D38">
        <v>5.1599999999999966</v>
      </c>
      <c r="E38">
        <v>0.12600000000000011</v>
      </c>
      <c r="G38">
        <v>36</v>
      </c>
      <c r="H38">
        <f t="shared" si="0"/>
        <v>3560000.0000000033</v>
      </c>
      <c r="I38">
        <f t="shared" si="1"/>
        <v>-3296160.0000000037</v>
      </c>
      <c r="J38">
        <f t="shared" si="2"/>
        <v>-3381839.9999999963</v>
      </c>
      <c r="K38">
        <f t="shared" si="3"/>
        <v>263839.99999999953</v>
      </c>
      <c r="L38">
        <f t="shared" si="4"/>
        <v>178160.00000000698</v>
      </c>
    </row>
    <row r="39" spans="1:22" x14ac:dyDescent="0.2">
      <c r="A39">
        <v>38</v>
      </c>
      <c r="B39">
        <v>0.13300000000000001</v>
      </c>
      <c r="C39">
        <v>3.730000000000004</v>
      </c>
      <c r="D39">
        <v>4.0100000000000051</v>
      </c>
      <c r="E39">
        <v>0.1419999999999999</v>
      </c>
      <c r="G39">
        <v>37</v>
      </c>
      <c r="H39">
        <f t="shared" si="0"/>
        <v>-2900000.0000000047</v>
      </c>
      <c r="I39">
        <f t="shared" si="1"/>
        <v>3462480.0000000019</v>
      </c>
      <c r="J39">
        <f t="shared" si="2"/>
        <v>2600639.9999999981</v>
      </c>
      <c r="K39">
        <f t="shared" si="3"/>
        <v>562479.99999999721</v>
      </c>
      <c r="L39">
        <f t="shared" si="4"/>
        <v>-299360.00000000652</v>
      </c>
      <c r="O39" s="30" t="s">
        <v>59</v>
      </c>
      <c r="P39" s="30"/>
      <c r="R39" s="30" t="s">
        <v>61</v>
      </c>
      <c r="S39" s="30"/>
      <c r="U39" s="30" t="s">
        <v>80</v>
      </c>
      <c r="V39" s="30"/>
    </row>
    <row r="40" spans="1:22" x14ac:dyDescent="0.2">
      <c r="A40">
        <v>39</v>
      </c>
      <c r="B40">
        <v>0.13599999999999968</v>
      </c>
      <c r="C40">
        <v>2.6199999999999903</v>
      </c>
      <c r="D40">
        <v>5.8199999999999932</v>
      </c>
      <c r="E40">
        <v>0.1030000000000002</v>
      </c>
      <c r="G40">
        <v>38</v>
      </c>
      <c r="H40">
        <f t="shared" si="0"/>
        <v>-2660000</v>
      </c>
      <c r="I40">
        <f t="shared" si="1"/>
        <v>1879920.0000000021</v>
      </c>
      <c r="J40">
        <f t="shared" si="2"/>
        <v>2021040.0000000023</v>
      </c>
      <c r="K40">
        <f t="shared" si="3"/>
        <v>-780079.9999999979</v>
      </c>
      <c r="L40">
        <f t="shared" si="4"/>
        <v>-638959.99999999767</v>
      </c>
      <c r="O40" s="20"/>
      <c r="P40" s="20"/>
      <c r="R40" s="20"/>
      <c r="S40" s="20"/>
      <c r="U40" s="20"/>
      <c r="V40" s="20"/>
    </row>
    <row r="41" spans="1:22" x14ac:dyDescent="0.2">
      <c r="A41">
        <v>40</v>
      </c>
      <c r="B41">
        <v>-0.2849999999999997</v>
      </c>
      <c r="C41">
        <v>-12.069999999999993</v>
      </c>
      <c r="D41">
        <v>-13.189999999999998</v>
      </c>
      <c r="E41">
        <v>-0.25900000000000034</v>
      </c>
      <c r="G41">
        <v>39</v>
      </c>
      <c r="H41">
        <f t="shared" si="0"/>
        <v>-2719999.9999999935</v>
      </c>
      <c r="I41">
        <f t="shared" si="1"/>
        <v>1320479.9999999951</v>
      </c>
      <c r="J41">
        <f t="shared" si="2"/>
        <v>2933279.9999999963</v>
      </c>
      <c r="K41">
        <f t="shared" si="3"/>
        <v>-1399519.9999999984</v>
      </c>
      <c r="L41">
        <f t="shared" si="4"/>
        <v>213280.00000000279</v>
      </c>
      <c r="O41" s="20" t="s">
        <v>67</v>
      </c>
      <c r="P41" s="20">
        <v>-392542.37288135587</v>
      </c>
      <c r="R41" s="20" t="s">
        <v>67</v>
      </c>
      <c r="S41" s="20">
        <v>-45209.491525423648</v>
      </c>
      <c r="U41" s="20" t="s">
        <v>67</v>
      </c>
      <c r="V41" s="20">
        <v>47987.796610169527</v>
      </c>
    </row>
    <row r="42" spans="1:22" x14ac:dyDescent="0.2">
      <c r="A42">
        <v>41</v>
      </c>
      <c r="B42">
        <v>-4.6000000000000041E-2</v>
      </c>
      <c r="C42">
        <v>1.5900000000000034</v>
      </c>
      <c r="D42">
        <v>1.9399999999999977</v>
      </c>
      <c r="E42">
        <v>-3.0999999999999694E-2</v>
      </c>
      <c r="G42">
        <v>40</v>
      </c>
      <c r="H42">
        <f t="shared" si="0"/>
        <v>5699999.9999999944</v>
      </c>
      <c r="I42">
        <f t="shared" si="1"/>
        <v>-6083279.9999999963</v>
      </c>
      <c r="J42">
        <f t="shared" si="2"/>
        <v>-6647759.9999999981</v>
      </c>
      <c r="K42">
        <f t="shared" si="3"/>
        <v>-383280.00000000186</v>
      </c>
      <c r="L42">
        <f t="shared" si="4"/>
        <v>-947760.00000000373</v>
      </c>
      <c r="O42" s="20" t="s">
        <v>24</v>
      </c>
      <c r="P42" s="20">
        <v>601083.94166063645</v>
      </c>
      <c r="R42" s="20" t="s">
        <v>24</v>
      </c>
      <c r="S42" s="20">
        <v>229918.73367307315</v>
      </c>
      <c r="U42" s="20" t="s">
        <v>24</v>
      </c>
      <c r="V42" s="20">
        <v>188418.46340764218</v>
      </c>
    </row>
    <row r="43" spans="1:22" x14ac:dyDescent="0.2">
      <c r="A43">
        <v>42</v>
      </c>
      <c r="B43">
        <v>9.9999999999999867E-2</v>
      </c>
      <c r="C43">
        <v>3.2599999999999909</v>
      </c>
      <c r="D43">
        <v>2.5600000000000023</v>
      </c>
      <c r="E43">
        <v>6.2999999999999723E-2</v>
      </c>
      <c r="G43">
        <v>41</v>
      </c>
      <c r="H43">
        <f t="shared" si="0"/>
        <v>920000.00000000081</v>
      </c>
      <c r="I43">
        <f t="shared" si="1"/>
        <v>801360.00000000175</v>
      </c>
      <c r="J43">
        <f t="shared" si="2"/>
        <v>977759.99999999884</v>
      </c>
      <c r="K43">
        <f t="shared" si="3"/>
        <v>1721360.0000000026</v>
      </c>
      <c r="L43">
        <f t="shared" si="4"/>
        <v>1897759.9999999995</v>
      </c>
      <c r="O43" s="20" t="s">
        <v>68</v>
      </c>
      <c r="P43" s="20">
        <v>-919999.99999999639</v>
      </c>
      <c r="R43" s="20" t="s">
        <v>68</v>
      </c>
      <c r="S43" s="20">
        <v>-137120.0000000014</v>
      </c>
      <c r="U43" s="20" t="s">
        <v>68</v>
      </c>
      <c r="V43" s="20">
        <v>102480.00000000373</v>
      </c>
    </row>
    <row r="44" spans="1:22" x14ac:dyDescent="0.2">
      <c r="A44">
        <v>43</v>
      </c>
      <c r="B44">
        <v>-8.3000000000000185E-2</v>
      </c>
      <c r="C44">
        <v>-6.9199999999999875</v>
      </c>
      <c r="D44">
        <v>-1.9899999999999949</v>
      </c>
      <c r="E44">
        <v>-7.1999999999999842E-2</v>
      </c>
      <c r="G44">
        <v>42</v>
      </c>
      <c r="H44">
        <f t="shared" si="0"/>
        <v>-1999999.9999999974</v>
      </c>
      <c r="I44">
        <f t="shared" si="1"/>
        <v>1643039.9999999953</v>
      </c>
      <c r="J44">
        <f t="shared" si="2"/>
        <v>1290240.0000000012</v>
      </c>
      <c r="K44">
        <f t="shared" si="3"/>
        <v>-356960.0000000021</v>
      </c>
      <c r="L44">
        <f t="shared" si="4"/>
        <v>-709759.99999999627</v>
      </c>
      <c r="O44" s="20" t="s">
        <v>69</v>
      </c>
      <c r="P44" s="20" t="e">
        <v>#N/A</v>
      </c>
      <c r="R44" s="20" t="s">
        <v>69</v>
      </c>
      <c r="S44" s="20" t="e">
        <v>#N/A</v>
      </c>
      <c r="U44" s="20" t="s">
        <v>69</v>
      </c>
      <c r="V44" s="20" t="e">
        <v>#N/A</v>
      </c>
    </row>
    <row r="45" spans="1:22" x14ac:dyDescent="0.2">
      <c r="A45">
        <v>44</v>
      </c>
      <c r="B45">
        <v>0.22900000000000009</v>
      </c>
      <c r="C45">
        <v>8.019999999999996</v>
      </c>
      <c r="D45">
        <v>5.2599999999999909</v>
      </c>
      <c r="E45">
        <v>0.27299999999999991</v>
      </c>
      <c r="G45">
        <v>43</v>
      </c>
      <c r="H45">
        <f t="shared" si="0"/>
        <v>1660000.0000000037</v>
      </c>
      <c r="I45">
        <f t="shared" si="1"/>
        <v>-3487679.9999999935</v>
      </c>
      <c r="J45">
        <f t="shared" si="2"/>
        <v>-1002959.9999999974</v>
      </c>
      <c r="K45">
        <f t="shared" si="3"/>
        <v>-1827679.9999999898</v>
      </c>
      <c r="L45">
        <f t="shared" si="4"/>
        <v>657040.00000000629</v>
      </c>
      <c r="O45" s="20" t="s">
        <v>70</v>
      </c>
      <c r="P45" s="20">
        <v>4617013.3625987004</v>
      </c>
      <c r="R45" s="20" t="s">
        <v>70</v>
      </c>
      <c r="S45" s="20">
        <v>1766039.3035082608</v>
      </c>
      <c r="U45" s="20" t="s">
        <v>70</v>
      </c>
      <c r="V45" s="20">
        <v>1447269.6790235476</v>
      </c>
    </row>
    <row r="46" spans="1:22" x14ac:dyDescent="0.2">
      <c r="A46">
        <v>45</v>
      </c>
      <c r="B46">
        <v>1.4000000000000234E-2</v>
      </c>
      <c r="C46">
        <v>1.5</v>
      </c>
      <c r="D46">
        <v>1.7000000000000028</v>
      </c>
      <c r="E46">
        <v>-2.8000000000000025E-2</v>
      </c>
      <c r="G46">
        <v>44</v>
      </c>
      <c r="H46">
        <f t="shared" si="0"/>
        <v>-4580000.0000000019</v>
      </c>
      <c r="I46">
        <f t="shared" si="1"/>
        <v>4042079.9999999981</v>
      </c>
      <c r="J46">
        <f t="shared" si="2"/>
        <v>2651039.9999999953</v>
      </c>
      <c r="K46">
        <f t="shared" si="3"/>
        <v>-537920.00000000373</v>
      </c>
      <c r="L46">
        <f t="shared" si="4"/>
        <v>-1928960.0000000065</v>
      </c>
      <c r="O46" s="20" t="s">
        <v>71</v>
      </c>
      <c r="P46" s="20">
        <v>21316812390414.957</v>
      </c>
      <c r="R46" s="20" t="s">
        <v>71</v>
      </c>
      <c r="S46" s="20">
        <v>3118894821535.9429</v>
      </c>
      <c r="U46" s="20" t="s">
        <v>71</v>
      </c>
      <c r="V46" s="20">
        <v>2094589523820.9221</v>
      </c>
    </row>
    <row r="47" spans="1:22" x14ac:dyDescent="0.2">
      <c r="A47">
        <v>46</v>
      </c>
      <c r="B47">
        <v>3.7999999999999812E-2</v>
      </c>
      <c r="C47">
        <v>2.6700000000000017</v>
      </c>
      <c r="D47">
        <v>3.5499999999999972</v>
      </c>
      <c r="E47">
        <v>7.6999999999999957E-2</v>
      </c>
      <c r="G47">
        <v>45</v>
      </c>
      <c r="H47">
        <f t="shared" si="0"/>
        <v>-280000.00000000471</v>
      </c>
      <c r="I47">
        <f t="shared" si="1"/>
        <v>756000</v>
      </c>
      <c r="J47">
        <f t="shared" si="2"/>
        <v>856800.0000000014</v>
      </c>
      <c r="K47">
        <f t="shared" si="3"/>
        <v>475999.99999999529</v>
      </c>
      <c r="L47">
        <f t="shared" si="4"/>
        <v>576799.99999999674</v>
      </c>
      <c r="O47" s="20" t="s">
        <v>72</v>
      </c>
      <c r="P47" s="20">
        <v>3.828599203427324</v>
      </c>
      <c r="R47" s="20" t="s">
        <v>72</v>
      </c>
      <c r="S47" s="20">
        <v>0.49386836245777932</v>
      </c>
      <c r="U47" s="20" t="s">
        <v>72</v>
      </c>
      <c r="V47" s="20">
        <v>0.83168283518875574</v>
      </c>
    </row>
    <row r="48" spans="1:22" x14ac:dyDescent="0.2">
      <c r="A48">
        <v>47</v>
      </c>
      <c r="B48">
        <v>0.2370000000000001</v>
      </c>
      <c r="C48">
        <v>7.2599999999999909</v>
      </c>
      <c r="D48">
        <v>7.210000000000008</v>
      </c>
      <c r="E48">
        <v>0.25800000000000001</v>
      </c>
      <c r="G48">
        <v>46</v>
      </c>
      <c r="H48">
        <f t="shared" si="0"/>
        <v>-759999.99999999627</v>
      </c>
      <c r="I48">
        <f t="shared" si="1"/>
        <v>1345680.0000000009</v>
      </c>
      <c r="J48">
        <f t="shared" si="2"/>
        <v>1789199.9999999986</v>
      </c>
      <c r="K48">
        <f t="shared" si="3"/>
        <v>585680.00000000466</v>
      </c>
      <c r="L48">
        <f t="shared" si="4"/>
        <v>1029200.0000000023</v>
      </c>
      <c r="O48" s="20" t="s">
        <v>73</v>
      </c>
      <c r="P48" s="20">
        <v>1.4102118674353874</v>
      </c>
      <c r="R48" s="20" t="s">
        <v>73</v>
      </c>
      <c r="S48" s="20">
        <v>0.17025732400698559</v>
      </c>
      <c r="U48" s="20" t="s">
        <v>73</v>
      </c>
      <c r="V48" s="20">
        <v>-0.24538212022001329</v>
      </c>
    </row>
    <row r="49" spans="1:22" x14ac:dyDescent="0.2">
      <c r="A49">
        <v>48</v>
      </c>
      <c r="B49">
        <v>0.21399999999999997</v>
      </c>
      <c r="C49">
        <v>-0.39000000000000057</v>
      </c>
      <c r="D49">
        <v>5.7399999999999949</v>
      </c>
      <c r="E49">
        <v>0.17700000000000005</v>
      </c>
      <c r="G49">
        <v>47</v>
      </c>
      <c r="H49">
        <f t="shared" si="0"/>
        <v>-4740000.0000000019</v>
      </c>
      <c r="I49">
        <f t="shared" si="1"/>
        <v>3659039.9999999953</v>
      </c>
      <c r="J49">
        <f t="shared" si="2"/>
        <v>3633840.0000000042</v>
      </c>
      <c r="K49">
        <f t="shared" si="3"/>
        <v>-1080960.0000000065</v>
      </c>
      <c r="L49">
        <f t="shared" si="4"/>
        <v>-1106159.9999999977</v>
      </c>
      <c r="O49" s="20" t="s">
        <v>74</v>
      </c>
      <c r="P49" s="20">
        <v>26700000</v>
      </c>
      <c r="R49" s="20" t="s">
        <v>74</v>
      </c>
      <c r="S49" s="20">
        <v>8716240</v>
      </c>
      <c r="U49" s="20" t="s">
        <v>74</v>
      </c>
      <c r="V49" s="20">
        <v>7725839.9999999981</v>
      </c>
    </row>
    <row r="50" spans="1:22" x14ac:dyDescent="0.2">
      <c r="A50">
        <v>49</v>
      </c>
      <c r="B50">
        <v>0.25600000000000023</v>
      </c>
      <c r="C50">
        <v>6.1099999999999994</v>
      </c>
      <c r="D50">
        <v>13.299999999999997</v>
      </c>
      <c r="E50">
        <v>0.20500000000000007</v>
      </c>
      <c r="G50">
        <v>48</v>
      </c>
      <c r="H50">
        <f t="shared" si="0"/>
        <v>-4279999.9999999991</v>
      </c>
      <c r="I50">
        <f t="shared" si="1"/>
        <v>-196560.00000000029</v>
      </c>
      <c r="J50">
        <f t="shared" si="2"/>
        <v>2892959.9999999977</v>
      </c>
      <c r="K50">
        <f t="shared" si="3"/>
        <v>-4476559.9999999991</v>
      </c>
      <c r="L50">
        <f t="shared" si="4"/>
        <v>-1387040.0000000014</v>
      </c>
      <c r="O50" s="20" t="s">
        <v>75</v>
      </c>
      <c r="P50" s="20">
        <v>-8140000.0000000009</v>
      </c>
      <c r="R50" s="20" t="s">
        <v>75</v>
      </c>
      <c r="S50" s="20">
        <v>-4476559.9999999991</v>
      </c>
      <c r="U50" s="20" t="s">
        <v>75</v>
      </c>
      <c r="V50" s="20">
        <v>-4584880</v>
      </c>
    </row>
    <row r="51" spans="1:22" x14ac:dyDescent="0.2">
      <c r="A51">
        <v>50</v>
      </c>
      <c r="B51">
        <v>0.16299999999999981</v>
      </c>
      <c r="C51">
        <v>9.0900000000000034</v>
      </c>
      <c r="D51">
        <v>4.6700000000000017</v>
      </c>
      <c r="E51">
        <v>0.16999999999999993</v>
      </c>
      <c r="G51">
        <v>49</v>
      </c>
      <c r="H51">
        <f t="shared" si="0"/>
        <v>-5120000.0000000047</v>
      </c>
      <c r="I51">
        <f t="shared" si="1"/>
        <v>3079439.9999999995</v>
      </c>
      <c r="J51">
        <f t="shared" si="2"/>
        <v>6703199.9999999981</v>
      </c>
      <c r="K51">
        <f t="shared" si="3"/>
        <v>-2040560.0000000051</v>
      </c>
      <c r="L51">
        <f t="shared" si="4"/>
        <v>1583199.9999999935</v>
      </c>
      <c r="O51" s="20" t="s">
        <v>76</v>
      </c>
      <c r="P51" s="20">
        <v>18560000</v>
      </c>
      <c r="R51" s="20" t="s">
        <v>76</v>
      </c>
      <c r="S51" s="20">
        <v>4239680.0000000019</v>
      </c>
      <c r="U51" s="20" t="s">
        <v>76</v>
      </c>
      <c r="V51" s="20">
        <v>3140959.9999999977</v>
      </c>
    </row>
    <row r="52" spans="1:22" x14ac:dyDescent="0.2">
      <c r="A52">
        <v>51</v>
      </c>
      <c r="B52">
        <v>0.20699999999999985</v>
      </c>
      <c r="C52">
        <v>7.2000000000000028</v>
      </c>
      <c r="D52">
        <v>9.6500000000000057</v>
      </c>
      <c r="E52">
        <v>0.16500000000000004</v>
      </c>
      <c r="G52">
        <v>50</v>
      </c>
      <c r="H52">
        <f t="shared" si="0"/>
        <v>-3259999.9999999963</v>
      </c>
      <c r="I52">
        <f t="shared" si="1"/>
        <v>4581360.0000000019</v>
      </c>
      <c r="J52">
        <f t="shared" si="2"/>
        <v>2353680.0000000009</v>
      </c>
      <c r="K52">
        <f t="shared" si="3"/>
        <v>1321360.0000000056</v>
      </c>
      <c r="L52">
        <f t="shared" si="4"/>
        <v>-906319.99999999534</v>
      </c>
      <c r="O52" s="20" t="s">
        <v>77</v>
      </c>
      <c r="P52" s="20">
        <v>-23159999.999999996</v>
      </c>
      <c r="R52" s="20" t="s">
        <v>77</v>
      </c>
      <c r="S52" s="20">
        <v>-2667359.9999999953</v>
      </c>
      <c r="U52" s="20" t="s">
        <v>77</v>
      </c>
      <c r="V52" s="20">
        <v>2831280.0000000023</v>
      </c>
    </row>
    <row r="53" spans="1:22" ht="17" thickBot="1" x14ac:dyDescent="0.25">
      <c r="A53">
        <v>52</v>
      </c>
      <c r="B53">
        <v>-0.23399999999999999</v>
      </c>
      <c r="C53">
        <v>-10.689999999999998</v>
      </c>
      <c r="D53">
        <v>-9.4099999999999966</v>
      </c>
      <c r="E53">
        <v>-0.21399999999999997</v>
      </c>
      <c r="G53">
        <v>51</v>
      </c>
      <c r="H53">
        <f t="shared" si="0"/>
        <v>-4139999.9999999972</v>
      </c>
      <c r="I53">
        <f t="shared" si="1"/>
        <v>3628800.0000000014</v>
      </c>
      <c r="J53">
        <f t="shared" si="2"/>
        <v>4863600.0000000028</v>
      </c>
      <c r="K53">
        <f t="shared" si="3"/>
        <v>-511199.99999999581</v>
      </c>
      <c r="L53">
        <f t="shared" si="4"/>
        <v>723600.00000000559</v>
      </c>
      <c r="O53" s="21" t="s">
        <v>78</v>
      </c>
      <c r="P53" s="21">
        <v>59</v>
      </c>
      <c r="R53" s="21" t="s">
        <v>78</v>
      </c>
      <c r="S53" s="21">
        <v>59</v>
      </c>
      <c r="U53" s="21" t="s">
        <v>78</v>
      </c>
      <c r="V53" s="21">
        <v>59</v>
      </c>
    </row>
    <row r="54" spans="1:22" x14ac:dyDescent="0.2">
      <c r="A54">
        <v>53</v>
      </c>
      <c r="B54">
        <v>-0.1379999999999999</v>
      </c>
      <c r="C54">
        <v>-7.4000000000000057</v>
      </c>
      <c r="D54">
        <v>-5.4700000000000131</v>
      </c>
      <c r="E54">
        <v>-0.11299999999999999</v>
      </c>
      <c r="G54">
        <v>52</v>
      </c>
      <c r="H54">
        <f t="shared" si="0"/>
        <v>4680000</v>
      </c>
      <c r="I54">
        <f t="shared" si="1"/>
        <v>-5387759.9999999981</v>
      </c>
      <c r="J54">
        <f t="shared" si="2"/>
        <v>-4742639.9999999981</v>
      </c>
      <c r="K54">
        <f t="shared" si="3"/>
        <v>-707759.99999999814</v>
      </c>
      <c r="L54">
        <f t="shared" si="4"/>
        <v>-62639.999999998137</v>
      </c>
    </row>
    <row r="55" spans="1:22" x14ac:dyDescent="0.2">
      <c r="A55">
        <v>54</v>
      </c>
      <c r="B55">
        <v>0.16500000000000004</v>
      </c>
      <c r="C55">
        <v>0.38000000000000966</v>
      </c>
      <c r="D55">
        <v>4.2200000000000131</v>
      </c>
      <c r="E55">
        <v>0.14999999999999991</v>
      </c>
      <c r="G55">
        <v>53</v>
      </c>
      <c r="H55">
        <f t="shared" si="0"/>
        <v>2759999.9999999981</v>
      </c>
      <c r="I55">
        <f t="shared" si="1"/>
        <v>-3729600.0000000028</v>
      </c>
      <c r="J55">
        <f t="shared" si="2"/>
        <v>-2756880.0000000065</v>
      </c>
      <c r="K55">
        <f t="shared" si="3"/>
        <v>-969600.00000000466</v>
      </c>
      <c r="L55">
        <f t="shared" si="4"/>
        <v>3119.9999999916181</v>
      </c>
    </row>
    <row r="56" spans="1:22" x14ac:dyDescent="0.2">
      <c r="A56">
        <v>55</v>
      </c>
      <c r="B56">
        <v>-4.8000000000000043E-2</v>
      </c>
      <c r="C56">
        <v>-6.8700000000000045</v>
      </c>
      <c r="D56">
        <v>0.54999999999999716</v>
      </c>
      <c r="E56">
        <v>-1.7999999999999794E-2</v>
      </c>
      <c r="G56">
        <v>54</v>
      </c>
      <c r="H56">
        <f t="shared" si="0"/>
        <v>-3300000.0000000009</v>
      </c>
      <c r="I56">
        <f t="shared" si="1"/>
        <v>191520.00000000486</v>
      </c>
      <c r="J56">
        <f t="shared" si="2"/>
        <v>2126880.0000000065</v>
      </c>
      <c r="K56">
        <f t="shared" si="3"/>
        <v>-3108479.9999999963</v>
      </c>
      <c r="L56">
        <f t="shared" si="4"/>
        <v>-1173119.9999999944</v>
      </c>
    </row>
    <row r="57" spans="1:22" x14ac:dyDescent="0.2">
      <c r="A57">
        <v>56</v>
      </c>
      <c r="B57">
        <v>-0.26900000000000013</v>
      </c>
      <c r="C57">
        <v>-9.8799999999999955</v>
      </c>
      <c r="D57">
        <v>-11.060000000000002</v>
      </c>
      <c r="E57">
        <v>-0.28699999999999992</v>
      </c>
      <c r="G57">
        <v>55</v>
      </c>
      <c r="H57">
        <f t="shared" si="0"/>
        <v>960000.00000000081</v>
      </c>
      <c r="I57">
        <f t="shared" si="1"/>
        <v>-3462480.0000000019</v>
      </c>
      <c r="J57">
        <f t="shared" si="2"/>
        <v>277199.99999999854</v>
      </c>
      <c r="K57">
        <f t="shared" si="3"/>
        <v>-2502480.0000000009</v>
      </c>
      <c r="L57">
        <f t="shared" si="4"/>
        <v>1237199.9999999993</v>
      </c>
    </row>
    <row r="58" spans="1:22" x14ac:dyDescent="0.2">
      <c r="A58">
        <v>57</v>
      </c>
      <c r="B58">
        <v>0.18400000000000016</v>
      </c>
      <c r="C58">
        <v>14.259999999999991</v>
      </c>
      <c r="D58">
        <v>3.0100000000000051</v>
      </c>
      <c r="E58">
        <v>0.2589999999999999</v>
      </c>
      <c r="G58">
        <v>56</v>
      </c>
      <c r="H58">
        <f t="shared" si="0"/>
        <v>5380000.0000000028</v>
      </c>
      <c r="I58">
        <f t="shared" si="1"/>
        <v>-4979519.9999999981</v>
      </c>
      <c r="J58">
        <f t="shared" si="2"/>
        <v>-5574240.0000000019</v>
      </c>
      <c r="K58">
        <f t="shared" si="3"/>
        <v>400480.00000000466</v>
      </c>
      <c r="L58">
        <f t="shared" si="4"/>
        <v>-194239.99999999907</v>
      </c>
    </row>
    <row r="59" spans="1:22" x14ac:dyDescent="0.2">
      <c r="A59">
        <v>58</v>
      </c>
      <c r="B59">
        <v>-2.7000000000000135E-2</v>
      </c>
      <c r="C59">
        <v>7.1700000000000017</v>
      </c>
      <c r="D59">
        <v>2.789999999999992</v>
      </c>
      <c r="E59">
        <v>-2.8000000000000025E-2</v>
      </c>
      <c r="G59">
        <v>57</v>
      </c>
      <c r="H59">
        <f t="shared" si="0"/>
        <v>-3680000.0000000033</v>
      </c>
      <c r="I59">
        <f t="shared" si="1"/>
        <v>7187039.9999999963</v>
      </c>
      <c r="J59">
        <f t="shared" si="2"/>
        <v>1517040.0000000026</v>
      </c>
      <c r="K59">
        <f t="shared" si="3"/>
        <v>3507039.999999993</v>
      </c>
      <c r="L59">
        <f t="shared" si="4"/>
        <v>-2162960.0000000009</v>
      </c>
    </row>
    <row r="60" spans="1:22" x14ac:dyDescent="0.2">
      <c r="A60">
        <v>59</v>
      </c>
      <c r="B60">
        <v>-8.4000000000000075E-2</v>
      </c>
      <c r="C60">
        <v>-1.5300000000000011</v>
      </c>
      <c r="D60">
        <v>-3.1299999999999955</v>
      </c>
      <c r="E60">
        <v>-9.5000000000000195E-2</v>
      </c>
      <c r="G60">
        <v>58</v>
      </c>
      <c r="H60">
        <f t="shared" si="0"/>
        <v>540000.00000000268</v>
      </c>
      <c r="I60">
        <f t="shared" si="1"/>
        <v>3613680.0000000009</v>
      </c>
      <c r="J60">
        <f t="shared" si="2"/>
        <v>1406159.999999996</v>
      </c>
      <c r="K60">
        <f t="shared" si="3"/>
        <v>4153680.0000000037</v>
      </c>
      <c r="L60">
        <f t="shared" si="4"/>
        <v>1946159.9999999986</v>
      </c>
    </row>
    <row r="61" spans="1:22" x14ac:dyDescent="0.2">
      <c r="G61">
        <v>59</v>
      </c>
      <c r="H61">
        <f t="shared" si="0"/>
        <v>1680000.0000000014</v>
      </c>
      <c r="I61">
        <f t="shared" si="1"/>
        <v>-771120.00000000058</v>
      </c>
      <c r="J61">
        <f t="shared" si="2"/>
        <v>-1577519.9999999977</v>
      </c>
      <c r="K61">
        <f t="shared" si="3"/>
        <v>908880.00000000081</v>
      </c>
      <c r="L61">
        <f t="shared" si="4"/>
        <v>102480.00000000373</v>
      </c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117830-E511-E54A-B1CC-96079FA300D8}">
  <dimension ref="A2:V35"/>
  <sheetViews>
    <sheetView showGridLines="0" zoomScale="125" workbookViewId="0">
      <selection activeCell="L31" sqref="L31"/>
    </sheetView>
  </sheetViews>
  <sheetFormatPr baseColWidth="10" defaultColWidth="9.1640625" defaultRowHeight="16" x14ac:dyDescent="0.2"/>
  <cols>
    <col min="1" max="2" width="9.1640625" style="68"/>
    <col min="3" max="3" width="11.1640625" style="68" customWidth="1"/>
    <col min="4" max="4" width="26.6640625" style="68" bestFit="1" customWidth="1"/>
    <col min="5" max="5" width="13.33203125" style="68" bestFit="1" customWidth="1"/>
    <col min="6" max="6" width="9" style="68" bestFit="1" customWidth="1"/>
    <col min="7" max="7" width="22.1640625" style="68" bestFit="1" customWidth="1"/>
    <col min="8" max="14" width="9.1640625" style="68"/>
    <col min="15" max="15" width="16" style="68" bestFit="1" customWidth="1"/>
    <col min="16" max="16" width="9.1640625" style="68"/>
    <col min="17" max="18" width="16" style="68" bestFit="1" customWidth="1"/>
    <col min="19" max="20" width="9.1640625" style="68"/>
    <col min="21" max="21" width="16" style="68" bestFit="1" customWidth="1"/>
    <col min="22" max="16384" width="9.1640625" style="68"/>
  </cols>
  <sheetData>
    <row r="2" spans="1:22" x14ac:dyDescent="0.2">
      <c r="A2" s="1" t="s">
        <v>87</v>
      </c>
      <c r="B2" s="1"/>
      <c r="C2" s="1"/>
      <c r="D2" s="1"/>
      <c r="E2" s="1"/>
      <c r="F2" s="1"/>
      <c r="G2" s="1"/>
      <c r="H2" s="1"/>
    </row>
    <row r="3" spans="1:22" x14ac:dyDescent="0.2">
      <c r="A3" s="3" t="s">
        <v>1</v>
      </c>
      <c r="B3" s="3"/>
      <c r="C3" s="3"/>
      <c r="D3" s="3"/>
      <c r="E3" s="3"/>
      <c r="F3" s="3"/>
      <c r="G3" s="3"/>
      <c r="H3" s="3"/>
    </row>
    <row r="4" spans="1:22" x14ac:dyDescent="0.2">
      <c r="A4" s="4" t="s">
        <v>88</v>
      </c>
      <c r="B4" s="4"/>
      <c r="C4" s="4"/>
      <c r="D4" s="4"/>
      <c r="E4" s="4"/>
      <c r="F4" s="4"/>
      <c r="G4" s="4"/>
      <c r="H4" s="4"/>
    </row>
    <row r="5" spans="1:22" x14ac:dyDescent="0.2">
      <c r="C5" s="47"/>
    </row>
    <row r="6" spans="1:22" ht="17" thickBot="1" x14ac:dyDescent="0.25"/>
    <row r="7" spans="1:22" ht="17" thickBot="1" x14ac:dyDescent="0.25">
      <c r="C7" s="69" t="s">
        <v>89</v>
      </c>
      <c r="D7" s="70" t="s">
        <v>90</v>
      </c>
      <c r="E7" s="71" t="s">
        <v>91</v>
      </c>
      <c r="F7" s="71" t="s">
        <v>92</v>
      </c>
      <c r="G7" s="71" t="s">
        <v>93</v>
      </c>
      <c r="I7" s="69" t="s">
        <v>89</v>
      </c>
      <c r="J7" s="70" t="s">
        <v>90</v>
      </c>
      <c r="K7" s="71" t="s">
        <v>91</v>
      </c>
      <c r="L7" s="71" t="s">
        <v>92</v>
      </c>
      <c r="M7" s="71" t="s">
        <v>93</v>
      </c>
    </row>
    <row r="8" spans="1:22" x14ac:dyDescent="0.2">
      <c r="C8" s="72" t="s">
        <v>94</v>
      </c>
      <c r="D8" s="73" t="s">
        <v>95</v>
      </c>
      <c r="E8" s="74">
        <v>40836</v>
      </c>
      <c r="F8" s="75">
        <v>0.5</v>
      </c>
      <c r="G8" s="76" t="s">
        <v>96</v>
      </c>
      <c r="I8" s="72" t="s">
        <v>94</v>
      </c>
      <c r="J8" s="73" t="s">
        <v>95</v>
      </c>
      <c r="K8" s="74">
        <v>40836</v>
      </c>
      <c r="L8" s="75">
        <v>0.5</v>
      </c>
      <c r="M8" s="76" t="s">
        <v>96</v>
      </c>
      <c r="O8" s="77" t="s">
        <v>97</v>
      </c>
      <c r="P8" s="77"/>
      <c r="R8" s="77" t="s">
        <v>98</v>
      </c>
      <c r="S8" s="77"/>
      <c r="U8" s="77" t="s">
        <v>99</v>
      </c>
      <c r="V8" s="77"/>
    </row>
    <row r="9" spans="1:22" x14ac:dyDescent="0.2">
      <c r="C9" s="78"/>
      <c r="D9" s="79" t="s">
        <v>100</v>
      </c>
      <c r="E9" s="80">
        <v>40835</v>
      </c>
      <c r="F9" s="81">
        <v>0.52</v>
      </c>
      <c r="G9" s="82" t="s">
        <v>96</v>
      </c>
      <c r="I9" s="78"/>
      <c r="J9" s="79" t="s">
        <v>100</v>
      </c>
      <c r="K9" s="80">
        <v>40835</v>
      </c>
      <c r="L9" s="81">
        <v>0.52</v>
      </c>
      <c r="M9" s="82" t="s">
        <v>96</v>
      </c>
      <c r="O9" s="2"/>
      <c r="P9" s="2"/>
      <c r="R9" s="2"/>
      <c r="S9" s="2"/>
      <c r="U9" s="2"/>
      <c r="V9" s="2"/>
    </row>
    <row r="10" spans="1:22" x14ac:dyDescent="0.2">
      <c r="C10" s="78"/>
      <c r="D10" s="79" t="s">
        <v>101</v>
      </c>
      <c r="E10" s="80">
        <v>40841</v>
      </c>
      <c r="F10" s="81">
        <v>0.4</v>
      </c>
      <c r="G10" s="82" t="s">
        <v>102</v>
      </c>
      <c r="I10" s="78"/>
      <c r="J10" s="79" t="s">
        <v>101</v>
      </c>
      <c r="K10" s="80">
        <v>40841</v>
      </c>
      <c r="L10" s="81">
        <v>0.4</v>
      </c>
      <c r="M10" s="82" t="s">
        <v>102</v>
      </c>
      <c r="O10" s="83" t="s">
        <v>67</v>
      </c>
      <c r="P10" s="83">
        <v>0.40375000000000005</v>
      </c>
      <c r="Q10" s="84"/>
      <c r="R10" s="83" t="s">
        <v>67</v>
      </c>
      <c r="S10" s="83">
        <v>0.72000000000000008</v>
      </c>
      <c r="T10" s="84"/>
      <c r="U10" s="83" t="s">
        <v>67</v>
      </c>
      <c r="V10" s="83">
        <v>0.10200000000000001</v>
      </c>
    </row>
    <row r="11" spans="1:22" x14ac:dyDescent="0.2">
      <c r="C11" s="78"/>
      <c r="D11" s="79" t="s">
        <v>103</v>
      </c>
      <c r="E11" s="80">
        <v>40834</v>
      </c>
      <c r="F11" s="81">
        <v>0.56000000000000005</v>
      </c>
      <c r="G11" s="82" t="s">
        <v>96</v>
      </c>
      <c r="I11" s="78"/>
      <c r="J11" s="79" t="s">
        <v>103</v>
      </c>
      <c r="K11" s="80">
        <v>40834</v>
      </c>
      <c r="L11" s="81">
        <v>0.56000000000000005</v>
      </c>
      <c r="M11" s="82" t="s">
        <v>96</v>
      </c>
      <c r="O11" s="2" t="s">
        <v>24</v>
      </c>
      <c r="P11" s="2">
        <v>6.8606994124922396E-2</v>
      </c>
      <c r="R11" s="2" t="s">
        <v>24</v>
      </c>
      <c r="S11" s="2">
        <v>6.4342831768581563E-2</v>
      </c>
      <c r="U11" s="2" t="s">
        <v>24</v>
      </c>
      <c r="V11" s="2">
        <v>3.4666666666666665E-2</v>
      </c>
    </row>
    <row r="12" spans="1:22" x14ac:dyDescent="0.2">
      <c r="C12" s="78"/>
      <c r="D12" s="79" t="s">
        <v>104</v>
      </c>
      <c r="E12" s="80">
        <v>40842</v>
      </c>
      <c r="F12" s="81">
        <v>0.45</v>
      </c>
      <c r="G12" s="82" t="s">
        <v>96</v>
      </c>
      <c r="I12" s="78"/>
      <c r="J12" s="79" t="s">
        <v>104</v>
      </c>
      <c r="K12" s="80">
        <v>40842</v>
      </c>
      <c r="L12" s="81">
        <v>0.45</v>
      </c>
      <c r="M12" s="82" t="s">
        <v>96</v>
      </c>
      <c r="O12" s="2" t="s">
        <v>68</v>
      </c>
      <c r="P12" s="2">
        <v>0.47499999999999998</v>
      </c>
      <c r="R12" s="2" t="s">
        <v>68</v>
      </c>
      <c r="S12" s="2">
        <v>0.745</v>
      </c>
      <c r="U12" s="2" t="s">
        <v>68</v>
      </c>
      <c r="V12" s="2">
        <v>0.09</v>
      </c>
    </row>
    <row r="13" spans="1:22" x14ac:dyDescent="0.2">
      <c r="C13" s="78"/>
      <c r="D13" s="79" t="s">
        <v>105</v>
      </c>
      <c r="E13" s="80">
        <v>40836</v>
      </c>
      <c r="F13" s="85" t="s">
        <v>106</v>
      </c>
      <c r="G13" s="82" t="s">
        <v>96</v>
      </c>
      <c r="I13" s="78"/>
      <c r="J13" s="79" t="s">
        <v>107</v>
      </c>
      <c r="K13" s="80">
        <v>40843</v>
      </c>
      <c r="L13" s="81">
        <v>0.56000000000000005</v>
      </c>
      <c r="M13" s="82" t="s">
        <v>96</v>
      </c>
      <c r="O13" s="2" t="s">
        <v>69</v>
      </c>
      <c r="P13" s="2">
        <v>0.56000000000000005</v>
      </c>
      <c r="R13" s="2" t="s">
        <v>69</v>
      </c>
      <c r="S13" s="2" t="e">
        <v>#N/A</v>
      </c>
      <c r="U13" s="2" t="s">
        <v>69</v>
      </c>
      <c r="V13" s="2">
        <v>0</v>
      </c>
    </row>
    <row r="14" spans="1:22" x14ac:dyDescent="0.2">
      <c r="C14" s="78"/>
      <c r="D14" s="79" t="s">
        <v>107</v>
      </c>
      <c r="E14" s="80">
        <v>40843</v>
      </c>
      <c r="F14" s="81">
        <v>0.56000000000000005</v>
      </c>
      <c r="G14" s="82" t="s">
        <v>96</v>
      </c>
      <c r="I14" s="78"/>
      <c r="J14" s="79" t="s">
        <v>108</v>
      </c>
      <c r="K14" s="80">
        <v>40843</v>
      </c>
      <c r="L14" s="81">
        <v>0</v>
      </c>
      <c r="M14" s="82" t="s">
        <v>96</v>
      </c>
      <c r="O14" s="2" t="s">
        <v>70</v>
      </c>
      <c r="P14" s="2">
        <v>0.19404988313023303</v>
      </c>
      <c r="R14" s="2" t="s">
        <v>70</v>
      </c>
      <c r="S14" s="2">
        <v>0.15760710643876413</v>
      </c>
      <c r="U14" s="2" t="s">
        <v>70</v>
      </c>
      <c r="V14" s="2">
        <v>0.10962562555250382</v>
      </c>
    </row>
    <row r="15" spans="1:22" ht="17" thickBot="1" x14ac:dyDescent="0.25">
      <c r="C15" s="78"/>
      <c r="D15" s="79" t="s">
        <v>108</v>
      </c>
      <c r="E15" s="80">
        <v>40843</v>
      </c>
      <c r="F15" s="81">
        <v>0</v>
      </c>
      <c r="G15" s="82" t="s">
        <v>96</v>
      </c>
      <c r="I15" s="86"/>
      <c r="J15" s="87" t="s">
        <v>109</v>
      </c>
      <c r="K15" s="88">
        <v>40856</v>
      </c>
      <c r="L15" s="89">
        <v>0.24</v>
      </c>
      <c r="M15" s="90" t="s">
        <v>96</v>
      </c>
      <c r="O15" s="2" t="s">
        <v>71</v>
      </c>
      <c r="P15" s="2">
        <v>3.7655357142857095E-2</v>
      </c>
      <c r="R15" s="2" t="s">
        <v>71</v>
      </c>
      <c r="S15" s="2">
        <v>2.4839999999999928E-2</v>
      </c>
      <c r="U15" s="2" t="s">
        <v>71</v>
      </c>
      <c r="V15" s="2">
        <v>1.2017777777777778E-2</v>
      </c>
    </row>
    <row r="16" spans="1:22" ht="17" thickBot="1" x14ac:dyDescent="0.25">
      <c r="C16" s="86"/>
      <c r="D16" s="87" t="s">
        <v>109</v>
      </c>
      <c r="E16" s="88">
        <v>40856</v>
      </c>
      <c r="F16" s="89">
        <v>0.24</v>
      </c>
      <c r="G16" s="90" t="s">
        <v>96</v>
      </c>
      <c r="I16" s="72" t="s">
        <v>110</v>
      </c>
      <c r="J16" s="73" t="s">
        <v>111</v>
      </c>
      <c r="K16" s="91" t="s">
        <v>112</v>
      </c>
      <c r="L16" s="75">
        <v>0.56999999999999995</v>
      </c>
      <c r="M16" s="76" t="s">
        <v>113</v>
      </c>
      <c r="O16" s="2" t="s">
        <v>72</v>
      </c>
      <c r="P16" s="2">
        <v>2.053665693785196</v>
      </c>
      <c r="R16" s="2" t="s">
        <v>72</v>
      </c>
      <c r="S16" s="2">
        <v>-1.3902502586602568</v>
      </c>
      <c r="U16" s="2" t="s">
        <v>72</v>
      </c>
      <c r="V16" s="2">
        <v>-1.1376685204943553</v>
      </c>
    </row>
    <row r="17" spans="3:22" x14ac:dyDescent="0.2">
      <c r="C17" s="72" t="s">
        <v>110</v>
      </c>
      <c r="D17" s="73" t="s">
        <v>111</v>
      </c>
      <c r="E17" s="91" t="s">
        <v>112</v>
      </c>
      <c r="F17" s="75">
        <v>0.56999999999999995</v>
      </c>
      <c r="G17" s="76" t="s">
        <v>113</v>
      </c>
      <c r="I17" s="78"/>
      <c r="J17" s="79" t="s">
        <v>114</v>
      </c>
      <c r="K17" s="92" t="s">
        <v>115</v>
      </c>
      <c r="L17" s="81">
        <v>0.86</v>
      </c>
      <c r="M17" s="82" t="s">
        <v>116</v>
      </c>
      <c r="O17" s="2" t="s">
        <v>73</v>
      </c>
      <c r="P17" s="2">
        <v>-1.5644916161882325</v>
      </c>
      <c r="R17" s="2" t="s">
        <v>73</v>
      </c>
      <c r="S17" s="2">
        <v>-0.41471682538614169</v>
      </c>
      <c r="U17" s="2" t="s">
        <v>73</v>
      </c>
      <c r="V17" s="2">
        <v>0.65034409919129088</v>
      </c>
    </row>
    <row r="18" spans="3:22" x14ac:dyDescent="0.2">
      <c r="C18" s="78"/>
      <c r="D18" s="79" t="s">
        <v>114</v>
      </c>
      <c r="E18" s="92" t="s">
        <v>115</v>
      </c>
      <c r="F18" s="81">
        <v>0.86</v>
      </c>
      <c r="G18" s="82" t="s">
        <v>116</v>
      </c>
      <c r="I18" s="78"/>
      <c r="J18" s="79" t="s">
        <v>117</v>
      </c>
      <c r="K18" s="92" t="s">
        <v>118</v>
      </c>
      <c r="L18" s="81">
        <v>0.74</v>
      </c>
      <c r="M18" s="82">
        <v>2012</v>
      </c>
      <c r="O18" s="2" t="s">
        <v>74</v>
      </c>
      <c r="P18" s="2">
        <v>0.56000000000000005</v>
      </c>
      <c r="R18" s="2" t="s">
        <v>74</v>
      </c>
      <c r="S18" s="2">
        <v>0.4</v>
      </c>
      <c r="U18" s="2" t="s">
        <v>74</v>
      </c>
      <c r="V18" s="2">
        <v>0.27</v>
      </c>
    </row>
    <row r="19" spans="3:22" x14ac:dyDescent="0.2">
      <c r="C19" s="78"/>
      <c r="D19" s="79" t="s">
        <v>117</v>
      </c>
      <c r="E19" s="92" t="s">
        <v>118</v>
      </c>
      <c r="F19" s="81">
        <v>0.74</v>
      </c>
      <c r="G19" s="82">
        <v>2012</v>
      </c>
      <c r="I19" s="78"/>
      <c r="J19" s="79" t="s">
        <v>119</v>
      </c>
      <c r="K19" s="92" t="s">
        <v>118</v>
      </c>
      <c r="L19" s="81">
        <v>0.75</v>
      </c>
      <c r="M19" s="82" t="s">
        <v>120</v>
      </c>
      <c r="O19" s="2" t="s">
        <v>75</v>
      </c>
      <c r="P19" s="2">
        <v>0</v>
      </c>
      <c r="R19" s="2" t="s">
        <v>75</v>
      </c>
      <c r="S19" s="2">
        <v>0.5</v>
      </c>
      <c r="U19" s="2" t="s">
        <v>75</v>
      </c>
      <c r="V19" s="2">
        <v>0</v>
      </c>
    </row>
    <row r="20" spans="3:22" x14ac:dyDescent="0.2">
      <c r="C20" s="78"/>
      <c r="D20" s="79" t="s">
        <v>119</v>
      </c>
      <c r="E20" s="92" t="s">
        <v>118</v>
      </c>
      <c r="F20" s="81">
        <v>0.75</v>
      </c>
      <c r="G20" s="82" t="s">
        <v>120</v>
      </c>
      <c r="I20" s="78"/>
      <c r="J20" s="79" t="s">
        <v>121</v>
      </c>
      <c r="K20" s="92" t="s">
        <v>122</v>
      </c>
      <c r="L20" s="81">
        <v>0.9</v>
      </c>
      <c r="M20" s="82" t="s">
        <v>123</v>
      </c>
      <c r="O20" s="2" t="s">
        <v>76</v>
      </c>
      <c r="P20" s="2">
        <v>0.56000000000000005</v>
      </c>
      <c r="R20" s="2" t="s">
        <v>76</v>
      </c>
      <c r="S20" s="2">
        <v>0.9</v>
      </c>
      <c r="U20" s="2" t="s">
        <v>76</v>
      </c>
      <c r="V20" s="2">
        <v>0.27</v>
      </c>
    </row>
    <row r="21" spans="3:22" ht="17" thickBot="1" x14ac:dyDescent="0.25">
      <c r="C21" s="78"/>
      <c r="D21" s="79" t="s">
        <v>121</v>
      </c>
      <c r="E21" s="92" t="s">
        <v>122</v>
      </c>
      <c r="F21" s="81">
        <v>0.9</v>
      </c>
      <c r="G21" s="82" t="s">
        <v>123</v>
      </c>
      <c r="I21" s="86"/>
      <c r="J21" s="87" t="s">
        <v>124</v>
      </c>
      <c r="K21" s="93" t="s">
        <v>125</v>
      </c>
      <c r="L21" s="89">
        <v>0.5</v>
      </c>
      <c r="M21" s="90" t="s">
        <v>126</v>
      </c>
      <c r="O21" s="2" t="s">
        <v>77</v>
      </c>
      <c r="P21" s="2">
        <v>3.2300000000000004</v>
      </c>
      <c r="R21" s="2" t="s">
        <v>77</v>
      </c>
      <c r="S21" s="2">
        <v>4.32</v>
      </c>
      <c r="U21" s="2" t="s">
        <v>77</v>
      </c>
      <c r="V21" s="2">
        <v>1.02</v>
      </c>
    </row>
    <row r="22" spans="3:22" ht="17" thickBot="1" x14ac:dyDescent="0.25">
      <c r="C22" s="86"/>
      <c r="D22" s="87" t="s">
        <v>124</v>
      </c>
      <c r="E22" s="93" t="s">
        <v>125</v>
      </c>
      <c r="F22" s="89">
        <v>0.5</v>
      </c>
      <c r="G22" s="90" t="s">
        <v>126</v>
      </c>
      <c r="I22" s="78" t="s">
        <v>127</v>
      </c>
      <c r="J22" s="79" t="s">
        <v>128</v>
      </c>
      <c r="K22" s="92" t="s">
        <v>118</v>
      </c>
      <c r="L22" s="81">
        <v>0.2</v>
      </c>
      <c r="M22" s="82" t="s">
        <v>129</v>
      </c>
      <c r="O22" s="94" t="s">
        <v>78</v>
      </c>
      <c r="P22" s="94">
        <v>8</v>
      </c>
      <c r="R22" s="94" t="s">
        <v>78</v>
      </c>
      <c r="S22" s="94">
        <v>6</v>
      </c>
      <c r="U22" s="94" t="s">
        <v>78</v>
      </c>
      <c r="V22" s="94">
        <v>10</v>
      </c>
    </row>
    <row r="23" spans="3:22" x14ac:dyDescent="0.2">
      <c r="C23" s="78" t="s">
        <v>127</v>
      </c>
      <c r="D23" s="79" t="s">
        <v>128</v>
      </c>
      <c r="E23" s="92" t="s">
        <v>118</v>
      </c>
      <c r="F23" s="81">
        <v>0.2</v>
      </c>
      <c r="G23" s="82" t="s">
        <v>129</v>
      </c>
      <c r="I23" s="78"/>
      <c r="J23" s="79" t="s">
        <v>130</v>
      </c>
      <c r="K23" s="92" t="s">
        <v>131</v>
      </c>
      <c r="L23" s="81">
        <v>0.27</v>
      </c>
      <c r="M23" s="82" t="s">
        <v>129</v>
      </c>
    </row>
    <row r="24" spans="3:22" ht="17" thickBot="1" x14ac:dyDescent="0.25">
      <c r="C24" s="78"/>
      <c r="D24" s="79" t="s">
        <v>130</v>
      </c>
      <c r="E24" s="92" t="s">
        <v>131</v>
      </c>
      <c r="F24" s="81">
        <v>0.27</v>
      </c>
      <c r="G24" s="82" t="s">
        <v>129</v>
      </c>
      <c r="I24" s="78"/>
      <c r="J24" s="79" t="s">
        <v>132</v>
      </c>
      <c r="K24" s="92" t="s">
        <v>131</v>
      </c>
      <c r="L24" s="81">
        <v>0</v>
      </c>
      <c r="M24" s="82" t="s">
        <v>129</v>
      </c>
    </row>
    <row r="25" spans="3:22" ht="17" thickBot="1" x14ac:dyDescent="0.25">
      <c r="C25" s="78"/>
      <c r="D25" s="79" t="s">
        <v>132</v>
      </c>
      <c r="E25" s="92" t="s">
        <v>131</v>
      </c>
      <c r="F25" s="81">
        <v>0</v>
      </c>
      <c r="G25" s="82" t="s">
        <v>129</v>
      </c>
      <c r="I25" s="78"/>
      <c r="J25" s="79" t="s">
        <v>133</v>
      </c>
      <c r="K25" s="92" t="s">
        <v>131</v>
      </c>
      <c r="L25" s="81">
        <v>0</v>
      </c>
      <c r="M25" s="82" t="s">
        <v>129</v>
      </c>
      <c r="O25" s="95"/>
      <c r="P25" s="96" t="s">
        <v>97</v>
      </c>
      <c r="Q25" s="97" t="s">
        <v>98</v>
      </c>
      <c r="R25" s="98" t="s">
        <v>99</v>
      </c>
    </row>
    <row r="26" spans="3:22" ht="17" thickBot="1" x14ac:dyDescent="0.25">
      <c r="C26" s="78"/>
      <c r="D26" s="79" t="s">
        <v>133</v>
      </c>
      <c r="E26" s="92" t="s">
        <v>131</v>
      </c>
      <c r="F26" s="81">
        <v>0</v>
      </c>
      <c r="G26" s="82" t="s">
        <v>129</v>
      </c>
      <c r="I26" s="78"/>
      <c r="J26" s="79" t="s">
        <v>134</v>
      </c>
      <c r="K26" s="92" t="s">
        <v>131</v>
      </c>
      <c r="L26" s="81">
        <v>0</v>
      </c>
      <c r="M26" s="82" t="s">
        <v>129</v>
      </c>
      <c r="O26" s="99" t="s">
        <v>67</v>
      </c>
      <c r="P26" s="100">
        <v>0.40375000000000005</v>
      </c>
      <c r="Q26" s="100">
        <v>0.72000000000000008</v>
      </c>
      <c r="R26" s="101">
        <v>0.10200000000000001</v>
      </c>
    </row>
    <row r="27" spans="3:22" ht="17" thickBot="1" x14ac:dyDescent="0.25">
      <c r="C27" s="78"/>
      <c r="D27" s="79" t="s">
        <v>134</v>
      </c>
      <c r="E27" s="92" t="s">
        <v>131</v>
      </c>
      <c r="F27" s="81">
        <v>0</v>
      </c>
      <c r="G27" s="82" t="s">
        <v>129</v>
      </c>
      <c r="I27" s="78"/>
      <c r="J27" s="79" t="s">
        <v>135</v>
      </c>
      <c r="K27" s="92" t="s">
        <v>131</v>
      </c>
      <c r="L27" s="81">
        <v>0.1</v>
      </c>
      <c r="M27" s="82" t="s">
        <v>129</v>
      </c>
      <c r="O27" s="102" t="s">
        <v>70</v>
      </c>
      <c r="P27" s="103">
        <v>0.19404988313023303</v>
      </c>
      <c r="Q27" s="103">
        <v>0.15760710643876413</v>
      </c>
      <c r="R27" s="104">
        <v>0.10962562555250382</v>
      </c>
    </row>
    <row r="28" spans="3:22" ht="17" thickBot="1" x14ac:dyDescent="0.25">
      <c r="C28" s="78"/>
      <c r="D28" s="79" t="s">
        <v>135</v>
      </c>
      <c r="E28" s="92" t="s">
        <v>131</v>
      </c>
      <c r="F28" s="81">
        <v>0.1</v>
      </c>
      <c r="G28" s="82" t="s">
        <v>129</v>
      </c>
      <c r="I28" s="78"/>
      <c r="J28" s="79" t="s">
        <v>136</v>
      </c>
      <c r="K28" s="92" t="s">
        <v>131</v>
      </c>
      <c r="L28" s="81">
        <v>0</v>
      </c>
      <c r="M28" s="82" t="s">
        <v>129</v>
      </c>
      <c r="O28" s="102" t="s">
        <v>75</v>
      </c>
      <c r="P28" s="103">
        <v>0</v>
      </c>
      <c r="Q28" s="103">
        <v>0.5</v>
      </c>
      <c r="R28" s="104">
        <v>0</v>
      </c>
    </row>
    <row r="29" spans="3:22" ht="17" thickBot="1" x14ac:dyDescent="0.25">
      <c r="C29" s="78"/>
      <c r="D29" s="79" t="s">
        <v>136</v>
      </c>
      <c r="E29" s="92" t="s">
        <v>131</v>
      </c>
      <c r="F29" s="81">
        <v>0</v>
      </c>
      <c r="G29" s="82" t="s">
        <v>129</v>
      </c>
      <c r="I29" s="78"/>
      <c r="J29" s="79" t="s">
        <v>137</v>
      </c>
      <c r="K29" s="92" t="s">
        <v>131</v>
      </c>
      <c r="L29" s="81">
        <v>0.08</v>
      </c>
      <c r="M29" s="82" t="s">
        <v>129</v>
      </c>
      <c r="O29" s="102" t="s">
        <v>76</v>
      </c>
      <c r="P29" s="103">
        <v>0.56000000000000005</v>
      </c>
      <c r="Q29" s="103">
        <v>0.9</v>
      </c>
      <c r="R29" s="104">
        <v>0.27</v>
      </c>
    </row>
    <row r="30" spans="3:22" ht="17" thickBot="1" x14ac:dyDescent="0.25">
      <c r="C30" s="78"/>
      <c r="D30" s="79" t="s">
        <v>137</v>
      </c>
      <c r="E30" s="92" t="s">
        <v>131</v>
      </c>
      <c r="F30" s="81">
        <v>0.08</v>
      </c>
      <c r="G30" s="82" t="s">
        <v>129</v>
      </c>
      <c r="I30" s="78"/>
      <c r="J30" s="79" t="s">
        <v>138</v>
      </c>
      <c r="K30" s="92" t="s">
        <v>131</v>
      </c>
      <c r="L30" s="81">
        <v>0.27</v>
      </c>
      <c r="M30" s="82" t="s">
        <v>129</v>
      </c>
      <c r="O30" s="102" t="s">
        <v>78</v>
      </c>
      <c r="P30" s="103">
        <v>8</v>
      </c>
      <c r="Q30" s="103">
        <v>6</v>
      </c>
      <c r="R30" s="104">
        <v>10</v>
      </c>
    </row>
    <row r="31" spans="3:22" ht="17" thickBot="1" x14ac:dyDescent="0.25">
      <c r="C31" s="78"/>
      <c r="D31" s="79" t="s">
        <v>138</v>
      </c>
      <c r="E31" s="92" t="s">
        <v>131</v>
      </c>
      <c r="F31" s="81">
        <v>0.27</v>
      </c>
      <c r="G31" s="82" t="s">
        <v>129</v>
      </c>
      <c r="I31" s="86"/>
      <c r="J31" s="87" t="s">
        <v>139</v>
      </c>
      <c r="K31" s="93" t="s">
        <v>131</v>
      </c>
      <c r="L31" s="89">
        <v>0.1</v>
      </c>
      <c r="M31" s="90" t="s">
        <v>129</v>
      </c>
    </row>
    <row r="32" spans="3:22" ht="17" thickBot="1" x14ac:dyDescent="0.25">
      <c r="C32" s="86"/>
      <c r="D32" s="87" t="s">
        <v>139</v>
      </c>
      <c r="E32" s="93" t="s">
        <v>131</v>
      </c>
      <c r="F32" s="89">
        <v>0.1</v>
      </c>
      <c r="G32" s="90" t="s">
        <v>129</v>
      </c>
    </row>
    <row r="34" spans="1:8" ht="15.75" customHeight="1" x14ac:dyDescent="0.2">
      <c r="A34" s="105"/>
      <c r="B34" s="106" t="s">
        <v>140</v>
      </c>
      <c r="C34" s="106"/>
      <c r="D34" s="106"/>
      <c r="E34" s="106"/>
      <c r="F34" s="106"/>
      <c r="G34" s="106"/>
      <c r="H34" s="106"/>
    </row>
    <row r="35" spans="1:8" x14ac:dyDescent="0.2">
      <c r="A35" s="105"/>
      <c r="B35" s="106"/>
      <c r="C35" s="106"/>
      <c r="D35" s="106"/>
      <c r="E35" s="106"/>
      <c r="F35" s="106"/>
      <c r="G35" s="106"/>
      <c r="H35" s="106"/>
    </row>
  </sheetData>
  <mergeCells count="4">
    <mergeCell ref="A2:H2"/>
    <mergeCell ref="A3:H3"/>
    <mergeCell ref="A4:H4"/>
    <mergeCell ref="B34:H3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Monthly Changes &amp; Correlations</vt:lpstr>
      <vt:lpstr>Regression - Brent</vt:lpstr>
      <vt:lpstr>Regression - Brent (directions)</vt:lpstr>
      <vt:lpstr>Regression - WTI</vt:lpstr>
      <vt:lpstr>Regression - WTI (directions)</vt:lpstr>
      <vt:lpstr>Regression - Heating Oil</vt:lpstr>
      <vt:lpstr>P&amp;L Before vs. After Hedging</vt:lpstr>
      <vt:lpstr>P&amp;L With Directions</vt:lpstr>
      <vt:lpstr>Exh 4 &amp; Descriptive Stats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Rachel Tran</dc:creator>
  <cp:lastModifiedBy>Rachel Tran</cp:lastModifiedBy>
  <dcterms:created xsi:type="dcterms:W3CDTF">2026-02-07T07:40:39Z</dcterms:created>
  <dcterms:modified xsi:type="dcterms:W3CDTF">2026-02-14T12:43:04Z</dcterms:modified>
</cp:coreProperties>
</file>